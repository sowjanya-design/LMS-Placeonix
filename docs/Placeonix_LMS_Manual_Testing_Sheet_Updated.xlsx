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amar\profiles\satyananth\"/>
    </mc:Choice>
  </mc:AlternateContent>
  <xr:revisionPtr revIDLastSave="0" documentId="13_ncr:1_{D5735956-5F18-421A-B3EB-3F42B0FF3578}" xr6:coauthVersionLast="47" xr6:coauthVersionMax="47" xr10:uidLastSave="{00000000-0000-0000-0000-000000000000}"/>
  <bookViews>
    <workbookView xWindow="-108" yWindow="-108" windowWidth="23256" windowHeight="13896" xr2:uid="{00000000-000D-0000-FFFF-FFFF00000000}"/>
  </bookViews>
  <sheets>
    <sheet name="Test Summary" sheetId="1" r:id="rId1"/>
    <sheet name="LMS Test Cases" sheetId="2" r:id="rId2"/>
    <sheet name="Others" sheetId="3" r:id="rId3"/>
  </sheets>
  <definedNames>
    <definedName name="_xlnm._FilterDatabase" localSheetId="1" hidden="1">'LMS Test Cases'!$A$1:$O$37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1" l="1"/>
  <c r="B7" i="1"/>
  <c r="B6" i="1"/>
  <c r="B5" i="1"/>
  <c r="B4" i="1"/>
  <c r="B3" i="1"/>
</calcChain>
</file>

<file path=xl/sharedStrings.xml><?xml version="1.0" encoding="utf-8"?>
<sst xmlns="http://schemas.openxmlformats.org/spreadsheetml/2006/main" count="501" uniqueCount="232">
  <si>
    <t>Test ID</t>
  </si>
  <si>
    <t>Module</t>
  </si>
  <si>
    <t>Test Scenario</t>
  </si>
  <si>
    <t>Test Steps</t>
  </si>
  <si>
    <t>Expected Result</t>
  </si>
  <si>
    <t>Actual Result</t>
  </si>
  <si>
    <t>Priority</t>
  </si>
  <si>
    <t>Status</t>
  </si>
  <si>
    <t>Issue Found?</t>
  </si>
  <si>
    <t>Issue / Bug Description</t>
  </si>
  <si>
    <t>Severity</t>
  </si>
  <si>
    <t>Bug ID</t>
  </si>
  <si>
    <t>Suggestions / Comments</t>
  </si>
  <si>
    <t>Tested By</t>
  </si>
  <si>
    <t>Test Date</t>
  </si>
  <si>
    <t>AUTH-001</t>
  </si>
  <si>
    <t>Authentication</t>
  </si>
  <si>
    <t>Login with valid credentials</t>
  </si>
  <si>
    <t xml:space="preserve">Tried  to login with all three admin,mentor,student emails </t>
  </si>
  <si>
    <t>User logs in successfully</t>
  </si>
  <si>
    <t>User loged in successfully</t>
  </si>
  <si>
    <t>Medium</t>
  </si>
  <si>
    <t>Pass</t>
  </si>
  <si>
    <t>Yes</t>
  </si>
  <si>
    <t>we have mentioned like both student id/ email to login but we have set the default parameter for mail so it searches for '@' even we are trying to login with id</t>
  </si>
  <si>
    <t>B-00</t>
  </si>
  <si>
    <t>NA</t>
  </si>
  <si>
    <t>siddhartha</t>
  </si>
  <si>
    <t>AUTH-002</t>
  </si>
  <si>
    <t>Login with wrong password</t>
  </si>
  <si>
    <t>Tried  to login with all three admin,mentor,student emails with invalid password</t>
  </si>
  <si>
    <t>Show invalid credentials</t>
  </si>
  <si>
    <t>Showed invalid credentials</t>
  </si>
  <si>
    <t>Low</t>
  </si>
  <si>
    <t>No</t>
  </si>
  <si>
    <t>AUTH-003</t>
  </si>
  <si>
    <t>Forgot password</t>
  </si>
  <si>
    <t>created a new student and tried to login with newly createed email and tried to use forgot password</t>
  </si>
  <si>
    <t>Reset email sent</t>
  </si>
  <si>
    <t>nothing changed</t>
  </si>
  <si>
    <t>High</t>
  </si>
  <si>
    <t>Fail</t>
  </si>
  <si>
    <t xml:space="preserve"> no popup message or anything  and reset link is also not coming to the email</t>
  </si>
  <si>
    <t>B-01</t>
  </si>
  <si>
    <t>USER-001</t>
  </si>
  <si>
    <t>Users</t>
  </si>
  <si>
    <t>Create Student</t>
  </si>
  <si>
    <t>in admin portal created a new student with my own credentials</t>
  </si>
  <si>
    <t>Student created</t>
  </si>
  <si>
    <t>Student created And checked also logged in with that account</t>
  </si>
  <si>
    <t>USER-002</t>
  </si>
  <si>
    <t>Create Mentor</t>
  </si>
  <si>
    <t>in admin portal created a new mentor with  name riya</t>
  </si>
  <si>
    <t>Mentor created</t>
  </si>
  <si>
    <t>Mentor created And checked also logged in with that account</t>
  </si>
  <si>
    <t>RBAC-001</t>
  </si>
  <si>
    <t>RBAC</t>
  </si>
  <si>
    <t>Student opens Admin page</t>
  </si>
  <si>
    <t xml:space="preserve"> tried to create a new student with same email as admin's but it showed an popup message like email is under use so , </t>
  </si>
  <si>
    <t>Access denied</t>
  </si>
  <si>
    <t xml:space="preserve"> there is no chance of collision with admin access because every email is unique</t>
  </si>
  <si>
    <t>COURSE-001</t>
  </si>
  <si>
    <t>Courses</t>
  </si>
  <si>
    <t>Create Course</t>
  </si>
  <si>
    <t>No option anywhere in admin or mentor to create a course</t>
  </si>
  <si>
    <t>Course created</t>
  </si>
  <si>
    <t>no add course button</t>
  </si>
  <si>
    <t>B-02</t>
  </si>
  <si>
    <t>COURSE-002</t>
  </si>
  <si>
    <t>Publish Course</t>
  </si>
  <si>
    <t>Visible to students</t>
  </si>
  <si>
    <t>LEARN-001</t>
  </si>
  <si>
    <t>Learning</t>
  </si>
  <si>
    <t>Student Enrollment</t>
  </si>
  <si>
    <t>assigned the student siddhartha with both sap fico  and with the full stack course</t>
  </si>
  <si>
    <t>Enrollment successful</t>
  </si>
  <si>
    <t xml:space="preserve"> Enrollment successful pop up message and batch size count also increased</t>
  </si>
  <si>
    <t>LEARN-002</t>
  </si>
  <si>
    <t>Complete Lesson</t>
  </si>
  <si>
    <t xml:space="preserve">tried to view and update the progress of the course in the studentportal/dashboard/resume_learning </t>
  </si>
  <si>
    <t>Progress updated</t>
  </si>
  <si>
    <t>but it is redirecting to studentportal/mydashboard but the course details is not opening</t>
  </si>
  <si>
    <t>Critical</t>
  </si>
  <si>
    <t>viewing course is not working</t>
  </si>
  <si>
    <t>B-03</t>
  </si>
  <si>
    <t>VIDEO-001</t>
  </si>
  <si>
    <t>Video</t>
  </si>
  <si>
    <t>Upload Recording</t>
  </si>
  <si>
    <t>no, video upload option,directly only url format is supported</t>
  </si>
  <si>
    <t>Upload successful</t>
  </si>
  <si>
    <t>video urls are working , opening successful</t>
  </si>
  <si>
    <t>Blocked</t>
  </si>
  <si>
    <t>no, video upload option,directly only url format is supported video urls are working , opening successful</t>
  </si>
  <si>
    <t>VIDEO-002</t>
  </si>
  <si>
    <t>Student Playback</t>
  </si>
  <si>
    <t xml:space="preserve">video urls are working fine </t>
  </si>
  <si>
    <t>Video streams</t>
  </si>
  <si>
    <t>IDE-001</t>
  </si>
  <si>
    <t>IDE</t>
  </si>
  <si>
    <t>Open IDE</t>
  </si>
  <si>
    <t>IDE loads</t>
  </si>
  <si>
    <t>IDE-002</t>
  </si>
  <si>
    <t>Run Code</t>
  </si>
  <si>
    <t>Output displayed</t>
  </si>
  <si>
    <t>ASSIGN-001</t>
  </si>
  <si>
    <t>Assignments</t>
  </si>
  <si>
    <t>Create Assignment</t>
  </si>
  <si>
    <t>tried to create an assignment with test account riya-mentor and added an assignment</t>
  </si>
  <si>
    <t>Assignment created</t>
  </si>
  <si>
    <t>ASSIGN-002</t>
  </si>
  <si>
    <t>Student Submission</t>
  </si>
  <si>
    <t>tried to submit the assignment using test account-siddhartha and submitted the assignment</t>
  </si>
  <si>
    <t>Submission stored</t>
  </si>
  <si>
    <t>Submission stored and also shared to mentor and grading of that assigmnet by mentor is also updating perfectly in both mentor and student portal</t>
  </si>
  <si>
    <t>QUIZ-001</t>
  </si>
  <si>
    <t>Quiz</t>
  </si>
  <si>
    <t>Start Quiz</t>
  </si>
  <si>
    <t xml:space="preserve">no quiz feature is added  </t>
  </si>
  <si>
    <t>Quiz starts</t>
  </si>
  <si>
    <t>If quiz means mock tests, they  are working fine</t>
  </si>
  <si>
    <t>QUIZ-002</t>
  </si>
  <si>
    <t>Timer Ends</t>
  </si>
  <si>
    <t>Auto submit</t>
  </si>
  <si>
    <t>PAY-001</t>
  </si>
  <si>
    <t>Payments</t>
  </si>
  <si>
    <t>Create Order</t>
  </si>
  <si>
    <t>in admin/payments it is only showing about every course fees price only and in student portal/fees page is showing nothing</t>
  </si>
  <si>
    <t>Order created</t>
  </si>
  <si>
    <t>B-04</t>
  </si>
  <si>
    <t>PAY-002</t>
  </si>
  <si>
    <t>Successful Payment</t>
  </si>
  <si>
    <t>Course activated</t>
  </si>
  <si>
    <t>CERT-001</t>
  </si>
  <si>
    <t>Certificates</t>
  </si>
  <si>
    <t>Generate Certificate</t>
  </si>
  <si>
    <t xml:space="preserve"> issuing certificate process from admin to a student is working </t>
  </si>
  <si>
    <t>Certificate generated</t>
  </si>
  <si>
    <t>student can also the see that the certificate is issued</t>
  </si>
  <si>
    <t xml:space="preserve">but the certificate that gennerted is not showing while clicking on that </t>
  </si>
  <si>
    <t>B-05</t>
  </si>
  <si>
    <t>PLACE-001</t>
  </si>
  <si>
    <t>Placement</t>
  </si>
  <si>
    <t>Create Job</t>
  </si>
  <si>
    <t>created a new job called test</t>
  </si>
  <si>
    <t>Job listed</t>
  </si>
  <si>
    <t>job created successfully</t>
  </si>
  <si>
    <t>while posting jobs in admin it should also have an option of adding job links so students can apply if they were on site</t>
  </si>
  <si>
    <t>ZOHO-001</t>
  </si>
  <si>
    <t>Zoho</t>
  </si>
  <si>
    <t>Create Student Email</t>
  </si>
  <si>
    <t xml:space="preserve">no feature is added  </t>
  </si>
  <si>
    <t>Email account created</t>
  </si>
  <si>
    <t>NOTIF-001</t>
  </si>
  <si>
    <t>Notifications</t>
  </si>
  <si>
    <t>Send Email</t>
  </si>
  <si>
    <t>Email delivered</t>
  </si>
  <si>
    <t>SEC-001</t>
  </si>
  <si>
    <t>Security</t>
  </si>
  <si>
    <t>JWT Tampering</t>
  </si>
  <si>
    <t>Not Tested</t>
  </si>
  <si>
    <t>SEC-001A</t>
  </si>
  <si>
    <t>JWT Tampering – Missing Token</t>
  </si>
  <si>
    <t>Request is rejected with HTTP 401 Unauthorized. No protected data is returned.</t>
  </si>
  <si>
    <t>JWT/security sub-test added</t>
  </si>
  <si>
    <t>SEC-001B</t>
  </si>
  <si>
    <t>JWT Tampering – Expired Token</t>
  </si>
  <si>
    <t>Request is rejected with HTTP 401 Unauthorized. The expired token is not accepted.</t>
  </si>
  <si>
    <t>SEC-001C</t>
  </si>
  <si>
    <t>JWT Tampering – Role Modification</t>
  </si>
  <si>
    <t>Modified token is rejected because the signature is invalid. The user must not gain admin access.</t>
  </si>
  <si>
    <t>SEC-001D</t>
  </si>
  <si>
    <t>Authorization / IDOR – Cross-User Access</t>
  </si>
  <si>
    <t>Server enforces ownership/authorization and denies unauthorized access. No other user’s private data is exposed or modified.</t>
  </si>
  <si>
    <t>SEC-001E</t>
  </si>
  <si>
    <t>Logout Token Invalidation</t>
  </si>
  <si>
    <t>Previously authenticated session/token is no longer accepted after logout; protected request is rejected according to the application’s session/token policy.</t>
  </si>
  <si>
    <t>SEC-002</t>
  </si>
  <si>
    <t>NoSQL Injection</t>
  </si>
  <si>
    <t>PERF-001</t>
  </si>
  <si>
    <t>Performance</t>
  </si>
  <si>
    <t>500 Concurrent Users</t>
  </si>
  <si>
    <t>Stable</t>
  </si>
  <si>
    <t>PERF-002</t>
  </si>
  <si>
    <t>1000 Concurrent Users</t>
  </si>
  <si>
    <t>ADMIN-001</t>
  </si>
  <si>
    <t>Admin</t>
  </si>
  <si>
    <t>Dashboard Statistics</t>
  </si>
  <si>
    <t>Correct data</t>
  </si>
  <si>
    <t>EDGE-001</t>
  </si>
  <si>
    <t>Edge Case</t>
  </si>
  <si>
    <t>Internet disconnect during upload</t>
  </si>
  <si>
    <t>Graceful recovery</t>
  </si>
  <si>
    <t>EDGE-002</t>
  </si>
  <si>
    <t>Duplicate payment webhook</t>
  </si>
  <si>
    <t>Single payment recorded</t>
  </si>
  <si>
    <t>Placeonix LMS - Test Execution Summary</t>
  </si>
  <si>
    <t>Metric</t>
  </si>
  <si>
    <t>Count</t>
  </si>
  <si>
    <t>Total Test Cases</t>
  </si>
  <si>
    <t>Issues Found</t>
  </si>
  <si>
    <t>logo of the website should be updated</t>
  </si>
  <si>
    <t>take input of  date of birth of the student while creating a student and make  it their default password while creating instead of something random</t>
  </si>
  <si>
    <t>in student/mycourse/   if course  is selected it should open the progress of that course</t>
  </si>
  <si>
    <t xml:space="preserve">tested 5 types of jwt tampering </t>
  </si>
  <si>
    <t xml:space="preserve">results are mentioned below seperately </t>
  </si>
  <si>
    <t xml:space="preserve">tested with both missed character access token and changed access token </t>
  </si>
  <si>
    <t>Showed invalid token and 401 unauthorized</t>
  </si>
  <si>
    <t>tried to check  the expiry of the token but the expiry was set to 7 days so we need to check after 7 days or we should change the duration in backend</t>
  </si>
  <si>
    <t xml:space="preserve">after expiring only we can check is the token is working after expiry </t>
  </si>
  <si>
    <t xml:space="preserve">Modified the JWT payload role changed "student" to "admin" and runed the modified access token in cmd </t>
  </si>
  <si>
    <t>401 ! Unauthorized</t>
  </si>
  <si>
    <t xml:space="preserve">loged in with test profile siddhartha and submited the assignment and later loged in with test account arjun reddy and tried to get the assignment submission data </t>
  </si>
  <si>
    <t xml:space="preserve"> No other user’s private data is exposed or  visible to modify </t>
  </si>
  <si>
    <t xml:space="preserve">Loged in with test profile siddhartha and got the access token of assignment and after I logedout and checked if the access token is still working </t>
  </si>
  <si>
    <t>but even after loged out that access token is still working and showing 200 ok</t>
  </si>
  <si>
    <t xml:space="preserve">the access token endpoint of the user is still working even when loged out </t>
  </si>
  <si>
    <t>in Command Prompt.
Sent a POST request to the login API using a MongoDB NoSQL operator payload:
curl -i -X POST "https://lms-placeonix-production.up.railway.app/api/v1/auth/login" -H "Content-Type: application/json" -d "{\"email\":{\"$ne\":null},\"password\":{\"$ne\":null}}"
Observe the HTTP status code and response.</t>
  </si>
  <si>
    <t>HTTP/1.1 400 Bad RequestNoSQL operator payload was rejected, and no authentication bypass occurred.</t>
  </si>
  <si>
    <t>B-06</t>
  </si>
  <si>
    <t>16.28% of requests failed. Multiple connection timeout/failure errors occurred. Response time increased significantly</t>
  </si>
  <si>
    <t>installed k6 appilication and tested with 50,100,500.50 and 100 VU test passed with 100% successful requests, while the 500 VU test failed with 16.28% failures</t>
  </si>
  <si>
    <t>yes</t>
  </si>
  <si>
    <t>The application was unable to reliably handle 500 concurrent users. Out of 1081 requests, 176 requests failedConnection failures were observed, and response times degraded significantly under load. Therefore, the system does not currently meet reliable performance expectations at 500 concurrent virtual users.</t>
  </si>
  <si>
    <t>B-07</t>
  </si>
  <si>
    <t>installed k6 appilication and tested with 1000 concurent users</t>
  </si>
  <si>
    <t>Out of 1389 total requests, 324 requests failed, resulting in a 23.32% failure rate. Response times were also very high, with an average response time of 20.4 seconds</t>
  </si>
  <si>
    <t>The application successfully handled 50 concurrent users with a 100% success rate. under higher loads of 500 and 1000 concurrent users, the application faces request failures, connection issues, interrupted iterations, and increased response times. The application is therefore not currently capable of reliably supporting 500 or 1000 concurrent users under the tested conditions.</t>
  </si>
  <si>
    <t>still there is no feature of file upload we have only included links or text boxes for any submissions</t>
  </si>
  <si>
    <t xml:space="preserve">checked every entity in dashboard </t>
  </si>
  <si>
    <t xml:space="preserve">all shows the correct data </t>
  </si>
  <si>
    <t>asking batch id to sign up couldn’t find batch id any where</t>
  </si>
  <si>
    <t>payments page is showing nothing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</si>
</sst>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rgb="FFFFFFFF"/>
      <name val="Calibri"/>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D9EAF7"/>
      </patternFill>
    </fill>
  </fills>
  <borders count="3">
    <border>
      <left/>
      <right/>
      <top/>
      <bottom/>
      <diagonal/>
    </border>
    <border>
      <left style="thin">
        <color rgb="FFB7C9D6"/>
      </left>
      <right style="thin">
        <color rgb="FFB7C9D6"/>
      </right>
      <top style="thin">
        <color rgb="FFB7C9D6"/>
      </top>
      <bottom style="thin">
        <color rgb="FFB7C9D6"/>
      </bottom>
      <diagonal/>
    </border>
    <border>
      <left style="thin">
        <color rgb="FFB7C9D6"/>
      </left>
      <right style="thin">
        <color rgb="FFB7C9D6"/>
      </right>
      <top/>
      <bottom/>
      <diagonal/>
    </border>
  </borders>
  <cellStyleXfs count="1">
    <xf numFmtId="0" fontId="0" fillId="0" borderId="0"/>
  </cellStyleXfs>
  <cellXfs count="11">
    <xf numFmtId="0" fontId="0" fillId="0" borderId="0" xfId="0"/>
    <xf numFmtId="0" fontId="0" fillId="0" borderId="1" xfId="0" applyBorder="1" applyAlignment="1">
      <alignment vertical="top" wrapText="1"/>
    </xf>
    <xf numFmtId="0" fontId="2" fillId="2" borderId="1" xfId="0" applyFont="1" applyFill="1" applyBorder="1" applyAlignment="1">
      <alignment vertical="center" wrapText="1"/>
    </xf>
    <xf numFmtId="0" fontId="1" fillId="4" borderId="1" xfId="0" applyFont="1" applyFill="1" applyBorder="1" applyAlignment="1">
      <alignment vertical="center" wrapText="1"/>
    </xf>
    <xf numFmtId="0" fontId="0" fillId="0" borderId="1" xfId="0" applyBorder="1" applyAlignment="1">
      <alignment vertical="center" wrapText="1"/>
    </xf>
    <xf numFmtId="0" fontId="2" fillId="2" borderId="1" xfId="0" applyFont="1" applyFill="1" applyBorder="1" applyAlignment="1">
      <alignment horizontal="center" vertical="center" wrapText="1"/>
    </xf>
    <xf numFmtId="0" fontId="0" fillId="3" borderId="1" xfId="0" applyFill="1" applyBorder="1" applyAlignment="1">
      <alignment vertical="top" wrapText="1"/>
    </xf>
    <xf numFmtId="14" fontId="0" fillId="3" borderId="1" xfId="0" applyNumberFormat="1" applyFill="1" applyBorder="1" applyAlignment="1">
      <alignment vertical="top" wrapText="1"/>
    </xf>
    <xf numFmtId="0" fontId="0" fillId="0" borderId="0" xfId="0" applyAlignment="1">
      <alignment horizontal="center"/>
    </xf>
    <xf numFmtId="0" fontId="0" fillId="0" borderId="0" xfId="0"/>
    <xf numFmtId="0" fontId="0" fillId="3" borderId="2" xfId="0" applyFill="1" applyBorder="1" applyAlignment="1">
      <alignment vertical="top" wrapText="1"/>
    </xf>
  </cellXfs>
  <cellStyles count="1">
    <cellStyle name="Normal" xfId="0" builtinId="0"/>
  </cellStyles>
  <dxfs count="4">
    <dxf>
      <fill>
        <patternFill patternType="solid">
          <fgColor rgb="FFFFC7CE"/>
        </patternFill>
      </fill>
    </dxf>
    <dxf>
      <fill>
        <patternFill patternType="solid">
          <fgColor rgb="FFFFEB9C"/>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tabSelected="1" workbookViewId="0">
      <selection activeCell="B8" sqref="B8"/>
    </sheetView>
  </sheetViews>
  <sheetFormatPr defaultRowHeight="14.4" x14ac:dyDescent="0.3"/>
  <cols>
    <col min="1" max="1" width="24" customWidth="1"/>
    <col min="2" max="2" width="18" customWidth="1"/>
  </cols>
  <sheetData>
    <row r="1" spans="1:2" ht="28.8" customHeight="1" x14ac:dyDescent="0.3">
      <c r="A1" s="2" t="s">
        <v>195</v>
      </c>
      <c r="B1" s="2"/>
    </row>
    <row r="2" spans="1:2" x14ac:dyDescent="0.3">
      <c r="A2" s="3" t="s">
        <v>196</v>
      </c>
      <c r="B2" s="3" t="s">
        <v>197</v>
      </c>
    </row>
    <row r="3" spans="1:2" x14ac:dyDescent="0.3">
      <c r="A3" s="4" t="s">
        <v>198</v>
      </c>
      <c r="B3" s="4">
        <f>COUNTA('LMS Test Cases'!A2:A37)</f>
        <v>36</v>
      </c>
    </row>
    <row r="4" spans="1:2" x14ac:dyDescent="0.3">
      <c r="A4" s="4" t="s">
        <v>22</v>
      </c>
      <c r="B4" s="4">
        <f>COUNTIF('LMS Test Cases'!H2:H32,"Pass")</f>
        <v>14</v>
      </c>
    </row>
    <row r="5" spans="1:2" x14ac:dyDescent="0.3">
      <c r="A5" s="4" t="s">
        <v>41</v>
      </c>
      <c r="B5" s="4">
        <f>COUNTIF('LMS Test Cases'!H2:H32,"Fail")</f>
        <v>7</v>
      </c>
    </row>
    <row r="6" spans="1:2" x14ac:dyDescent="0.3">
      <c r="A6" s="4" t="s">
        <v>91</v>
      </c>
      <c r="B6" s="4">
        <f>COUNTIF('LMS Test Cases'!H2:H32,"Blocked")</f>
        <v>10</v>
      </c>
    </row>
    <row r="7" spans="1:2" x14ac:dyDescent="0.3">
      <c r="A7" s="4" t="s">
        <v>159</v>
      </c>
      <c r="B7" s="4">
        <f>COUNTIF('LMS Test Cases'!H2:H32,"Not Tested")</f>
        <v>0</v>
      </c>
    </row>
    <row r="8" spans="1:2" x14ac:dyDescent="0.3">
      <c r="A8" s="4" t="s">
        <v>199</v>
      </c>
      <c r="B8" s="4">
        <f>COUNTIF('LMS Test Cases'!I2:I32,"Yes")</f>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7"/>
  <sheetViews>
    <sheetView workbookViewId="0">
      <pane ySplit="1" topLeftCell="A33" activePane="bottomLeft" state="frozen"/>
      <selection pane="bottomLeft" activeCell="O37" sqref="O37"/>
    </sheetView>
  </sheetViews>
  <sheetFormatPr defaultRowHeight="14.4" x14ac:dyDescent="0.3"/>
  <cols>
    <col min="1" max="1" width="14" customWidth="1"/>
    <col min="2" max="2" width="18" customWidth="1"/>
    <col min="3" max="3" width="30" customWidth="1"/>
    <col min="4" max="4" width="42" customWidth="1"/>
    <col min="5" max="5" width="30" customWidth="1"/>
    <col min="6" max="6" width="34" customWidth="1"/>
    <col min="7" max="7" width="12" customWidth="1"/>
    <col min="8" max="8" width="15" customWidth="1"/>
    <col min="9" max="9" width="13" customWidth="1"/>
    <col min="10" max="10" width="42" customWidth="1"/>
    <col min="11" max="11" width="12" customWidth="1"/>
    <col min="12" max="12" width="14" customWidth="1"/>
    <col min="13" max="13" width="42" customWidth="1"/>
    <col min="14" max="14" width="20" customWidth="1"/>
    <col min="15" max="15" width="15" customWidth="1"/>
  </cols>
  <sheetData>
    <row r="1" spans="1:15" ht="31.95" customHeight="1"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row>
    <row r="2" spans="1:15" ht="60" customHeight="1" x14ac:dyDescent="0.3">
      <c r="A2" s="1" t="s">
        <v>15</v>
      </c>
      <c r="B2" s="1" t="s">
        <v>16</v>
      </c>
      <c r="C2" s="1" t="s">
        <v>17</v>
      </c>
      <c r="D2" s="6" t="s">
        <v>18</v>
      </c>
      <c r="E2" s="1" t="s">
        <v>19</v>
      </c>
      <c r="F2" s="6" t="s">
        <v>20</v>
      </c>
      <c r="G2" s="1" t="s">
        <v>21</v>
      </c>
      <c r="H2" s="1" t="s">
        <v>22</v>
      </c>
      <c r="I2" s="1" t="s">
        <v>23</v>
      </c>
      <c r="J2" s="6" t="s">
        <v>24</v>
      </c>
      <c r="K2" s="6" t="s">
        <v>21</v>
      </c>
      <c r="L2" s="1" t="s">
        <v>25</v>
      </c>
      <c r="M2" s="6" t="s">
        <v>26</v>
      </c>
      <c r="N2" s="6" t="s">
        <v>27</v>
      </c>
      <c r="O2" s="7">
        <v>46255</v>
      </c>
    </row>
    <row r="3" spans="1:15" ht="60" customHeight="1" x14ac:dyDescent="0.3">
      <c r="A3" s="1" t="s">
        <v>28</v>
      </c>
      <c r="B3" s="1" t="s">
        <v>16</v>
      </c>
      <c r="C3" s="1" t="s">
        <v>29</v>
      </c>
      <c r="D3" s="6" t="s">
        <v>30</v>
      </c>
      <c r="E3" s="1" t="s">
        <v>31</v>
      </c>
      <c r="F3" s="6" t="s">
        <v>32</v>
      </c>
      <c r="G3" s="1" t="s">
        <v>33</v>
      </c>
      <c r="H3" s="1" t="s">
        <v>22</v>
      </c>
      <c r="I3" s="1" t="s">
        <v>34</v>
      </c>
      <c r="J3" s="6" t="s">
        <v>26</v>
      </c>
      <c r="K3" s="6" t="s">
        <v>33</v>
      </c>
      <c r="L3" s="1"/>
      <c r="M3" s="6" t="s">
        <v>26</v>
      </c>
      <c r="N3" s="6" t="s">
        <v>27</v>
      </c>
      <c r="O3" s="7">
        <v>46255</v>
      </c>
    </row>
    <row r="4" spans="1:15" ht="60" customHeight="1" x14ac:dyDescent="0.3">
      <c r="A4" s="1" t="s">
        <v>35</v>
      </c>
      <c r="B4" s="1" t="s">
        <v>16</v>
      </c>
      <c r="C4" s="1" t="s">
        <v>36</v>
      </c>
      <c r="D4" s="6" t="s">
        <v>37</v>
      </c>
      <c r="E4" s="1" t="s">
        <v>38</v>
      </c>
      <c r="F4" s="6" t="s">
        <v>39</v>
      </c>
      <c r="G4" s="1" t="s">
        <v>40</v>
      </c>
      <c r="H4" s="1" t="s">
        <v>41</v>
      </c>
      <c r="I4" s="1" t="s">
        <v>23</v>
      </c>
      <c r="J4" s="6" t="s">
        <v>42</v>
      </c>
      <c r="K4" s="6" t="s">
        <v>40</v>
      </c>
      <c r="L4" s="1" t="s">
        <v>43</v>
      </c>
      <c r="M4" s="6" t="s">
        <v>26</v>
      </c>
      <c r="N4" s="6" t="s">
        <v>27</v>
      </c>
      <c r="O4" s="7">
        <v>46255</v>
      </c>
    </row>
    <row r="5" spans="1:15" ht="60" customHeight="1" x14ac:dyDescent="0.3">
      <c r="A5" s="1" t="s">
        <v>44</v>
      </c>
      <c r="B5" s="1" t="s">
        <v>45</v>
      </c>
      <c r="C5" s="1" t="s">
        <v>46</v>
      </c>
      <c r="D5" s="6" t="s">
        <v>47</v>
      </c>
      <c r="E5" s="1" t="s">
        <v>48</v>
      </c>
      <c r="F5" s="6" t="s">
        <v>49</v>
      </c>
      <c r="G5" s="1" t="s">
        <v>33</v>
      </c>
      <c r="H5" s="1" t="s">
        <v>22</v>
      </c>
      <c r="I5" s="1" t="s">
        <v>34</v>
      </c>
      <c r="J5" s="6" t="s">
        <v>26</v>
      </c>
      <c r="K5" s="6" t="s">
        <v>33</v>
      </c>
      <c r="L5" s="1"/>
      <c r="M5" s="6" t="s">
        <v>26</v>
      </c>
      <c r="N5" s="6" t="s">
        <v>27</v>
      </c>
      <c r="O5" s="7">
        <v>46256</v>
      </c>
    </row>
    <row r="6" spans="1:15" ht="60" customHeight="1" x14ac:dyDescent="0.3">
      <c r="A6" s="1" t="s">
        <v>50</v>
      </c>
      <c r="B6" s="1" t="s">
        <v>45</v>
      </c>
      <c r="C6" s="1" t="s">
        <v>51</v>
      </c>
      <c r="D6" s="6" t="s">
        <v>52</v>
      </c>
      <c r="E6" s="1" t="s">
        <v>53</v>
      </c>
      <c r="F6" s="6" t="s">
        <v>54</v>
      </c>
      <c r="G6" s="1" t="s">
        <v>33</v>
      </c>
      <c r="H6" s="1" t="s">
        <v>22</v>
      </c>
      <c r="I6" s="1" t="s">
        <v>34</v>
      </c>
      <c r="J6" s="6" t="s">
        <v>26</v>
      </c>
      <c r="K6" s="6" t="s">
        <v>33</v>
      </c>
      <c r="L6" s="1"/>
      <c r="M6" s="6" t="s">
        <v>26</v>
      </c>
      <c r="N6" s="6" t="s">
        <v>27</v>
      </c>
      <c r="O6" s="7">
        <v>46256</v>
      </c>
    </row>
    <row r="7" spans="1:15" ht="60" customHeight="1" x14ac:dyDescent="0.3">
      <c r="A7" s="1" t="s">
        <v>55</v>
      </c>
      <c r="B7" s="1" t="s">
        <v>56</v>
      </c>
      <c r="C7" s="1" t="s">
        <v>57</v>
      </c>
      <c r="D7" s="6" t="s">
        <v>58</v>
      </c>
      <c r="E7" s="1" t="s">
        <v>59</v>
      </c>
      <c r="F7" s="6" t="s">
        <v>60</v>
      </c>
      <c r="G7" s="1" t="s">
        <v>33</v>
      </c>
      <c r="H7" s="1" t="s">
        <v>22</v>
      </c>
      <c r="I7" s="1" t="s">
        <v>34</v>
      </c>
      <c r="J7" s="6" t="s">
        <v>26</v>
      </c>
      <c r="K7" s="6" t="s">
        <v>33</v>
      </c>
      <c r="L7" s="1"/>
      <c r="M7" s="6" t="s">
        <v>26</v>
      </c>
      <c r="N7" s="6" t="s">
        <v>27</v>
      </c>
      <c r="O7" s="7">
        <v>46256</v>
      </c>
    </row>
    <row r="8" spans="1:15" ht="60" customHeight="1" x14ac:dyDescent="0.3">
      <c r="A8" s="1" t="s">
        <v>61</v>
      </c>
      <c r="B8" s="1" t="s">
        <v>62</v>
      </c>
      <c r="C8" s="1" t="s">
        <v>63</v>
      </c>
      <c r="D8" s="6" t="s">
        <v>64</v>
      </c>
      <c r="E8" s="1" t="s">
        <v>65</v>
      </c>
      <c r="F8" s="6" t="s">
        <v>66</v>
      </c>
      <c r="G8" s="1" t="s">
        <v>21</v>
      </c>
      <c r="H8" s="1" t="s">
        <v>41</v>
      </c>
      <c r="I8" s="1" t="s">
        <v>23</v>
      </c>
      <c r="J8" s="6" t="s">
        <v>26</v>
      </c>
      <c r="K8" s="6" t="s">
        <v>21</v>
      </c>
      <c r="L8" s="1" t="s">
        <v>67</v>
      </c>
      <c r="M8" s="6" t="s">
        <v>26</v>
      </c>
      <c r="N8" s="6" t="s">
        <v>27</v>
      </c>
      <c r="O8" s="7">
        <v>46256</v>
      </c>
    </row>
    <row r="9" spans="1:15" ht="60" customHeight="1" x14ac:dyDescent="0.3">
      <c r="A9" s="1" t="s">
        <v>68</v>
      </c>
      <c r="B9" s="1" t="s">
        <v>62</v>
      </c>
      <c r="C9" s="1" t="s">
        <v>69</v>
      </c>
      <c r="D9" s="6" t="s">
        <v>64</v>
      </c>
      <c r="E9" s="1" t="s">
        <v>70</v>
      </c>
      <c r="F9" s="6" t="s">
        <v>66</v>
      </c>
      <c r="G9" s="1" t="s">
        <v>21</v>
      </c>
      <c r="H9" s="1" t="s">
        <v>41</v>
      </c>
      <c r="I9" s="1" t="s">
        <v>23</v>
      </c>
      <c r="J9" s="6" t="s">
        <v>26</v>
      </c>
      <c r="K9" s="6" t="s">
        <v>21</v>
      </c>
      <c r="L9" s="1" t="s">
        <v>67</v>
      </c>
      <c r="M9" s="6" t="s">
        <v>26</v>
      </c>
      <c r="N9" s="6" t="s">
        <v>27</v>
      </c>
      <c r="O9" s="7">
        <v>46256</v>
      </c>
    </row>
    <row r="10" spans="1:15" ht="60" customHeight="1" x14ac:dyDescent="0.3">
      <c r="A10" s="1" t="s">
        <v>71</v>
      </c>
      <c r="B10" s="1" t="s">
        <v>72</v>
      </c>
      <c r="C10" s="1" t="s">
        <v>73</v>
      </c>
      <c r="D10" s="6" t="s">
        <v>74</v>
      </c>
      <c r="E10" s="1" t="s">
        <v>75</v>
      </c>
      <c r="F10" s="6" t="s">
        <v>76</v>
      </c>
      <c r="G10" s="1" t="s">
        <v>33</v>
      </c>
      <c r="H10" s="1" t="s">
        <v>22</v>
      </c>
      <c r="I10" s="1" t="s">
        <v>34</v>
      </c>
      <c r="J10" s="6" t="s">
        <v>26</v>
      </c>
      <c r="K10" s="6" t="s">
        <v>33</v>
      </c>
      <c r="L10" s="1"/>
      <c r="M10" s="6" t="s">
        <v>26</v>
      </c>
      <c r="N10" s="6" t="s">
        <v>27</v>
      </c>
      <c r="O10" s="7">
        <v>46256</v>
      </c>
    </row>
    <row r="11" spans="1:15" ht="60" customHeight="1" x14ac:dyDescent="0.3">
      <c r="A11" s="1" t="s">
        <v>77</v>
      </c>
      <c r="B11" s="1" t="s">
        <v>72</v>
      </c>
      <c r="C11" s="1" t="s">
        <v>78</v>
      </c>
      <c r="D11" s="6" t="s">
        <v>79</v>
      </c>
      <c r="E11" s="1" t="s">
        <v>80</v>
      </c>
      <c r="F11" s="6" t="s">
        <v>81</v>
      </c>
      <c r="G11" s="1" t="s">
        <v>82</v>
      </c>
      <c r="H11" s="1" t="s">
        <v>41</v>
      </c>
      <c r="I11" s="1" t="s">
        <v>23</v>
      </c>
      <c r="J11" s="6" t="s">
        <v>83</v>
      </c>
      <c r="K11" s="6" t="s">
        <v>82</v>
      </c>
      <c r="L11" s="1" t="s">
        <v>84</v>
      </c>
      <c r="M11" s="6" t="s">
        <v>26</v>
      </c>
      <c r="N11" s="6" t="s">
        <v>27</v>
      </c>
      <c r="O11" s="7">
        <v>46256</v>
      </c>
    </row>
    <row r="12" spans="1:15" ht="60" customHeight="1" x14ac:dyDescent="0.3">
      <c r="A12" s="1" t="s">
        <v>85</v>
      </c>
      <c r="B12" s="1" t="s">
        <v>86</v>
      </c>
      <c r="C12" s="1" t="s">
        <v>87</v>
      </c>
      <c r="D12" s="6" t="s">
        <v>88</v>
      </c>
      <c r="E12" s="1" t="s">
        <v>89</v>
      </c>
      <c r="F12" s="6" t="s">
        <v>90</v>
      </c>
      <c r="G12" s="1" t="s">
        <v>21</v>
      </c>
      <c r="H12" s="1" t="s">
        <v>91</v>
      </c>
      <c r="I12" s="1" t="s">
        <v>23</v>
      </c>
      <c r="J12" s="6" t="s">
        <v>92</v>
      </c>
      <c r="K12" s="6" t="s">
        <v>21</v>
      </c>
      <c r="L12" s="1"/>
      <c r="M12" s="6" t="s">
        <v>26</v>
      </c>
      <c r="N12" s="6" t="s">
        <v>27</v>
      </c>
      <c r="O12" s="7">
        <v>46256</v>
      </c>
    </row>
    <row r="13" spans="1:15" ht="60" customHeight="1" x14ac:dyDescent="0.3">
      <c r="A13" s="1" t="s">
        <v>93</v>
      </c>
      <c r="B13" s="1" t="s">
        <v>86</v>
      </c>
      <c r="C13" s="1" t="s">
        <v>94</v>
      </c>
      <c r="D13" s="6" t="s">
        <v>95</v>
      </c>
      <c r="E13" s="1" t="s">
        <v>96</v>
      </c>
      <c r="F13" s="6" t="s">
        <v>90</v>
      </c>
      <c r="G13" s="1" t="s">
        <v>21</v>
      </c>
      <c r="H13" s="1" t="s">
        <v>91</v>
      </c>
      <c r="I13" s="1" t="s">
        <v>23</v>
      </c>
      <c r="J13" s="6" t="s">
        <v>92</v>
      </c>
      <c r="K13" s="6" t="s">
        <v>21</v>
      </c>
      <c r="L13" s="1"/>
      <c r="M13" s="6" t="s">
        <v>26</v>
      </c>
      <c r="N13" s="6" t="s">
        <v>27</v>
      </c>
      <c r="O13" s="7">
        <v>46256</v>
      </c>
    </row>
    <row r="14" spans="1:15" ht="60" customHeight="1" x14ac:dyDescent="0.3">
      <c r="A14" s="1" t="s">
        <v>97</v>
      </c>
      <c r="B14" s="1" t="s">
        <v>98</v>
      </c>
      <c r="C14" s="1" t="s">
        <v>99</v>
      </c>
      <c r="D14" s="6" t="s">
        <v>230</v>
      </c>
      <c r="E14" s="1" t="s">
        <v>100</v>
      </c>
      <c r="F14" s="6" t="s">
        <v>230</v>
      </c>
      <c r="G14" s="1" t="s">
        <v>21</v>
      </c>
      <c r="H14" s="1" t="s">
        <v>91</v>
      </c>
      <c r="I14" s="1" t="s">
        <v>23</v>
      </c>
      <c r="J14" s="6" t="s">
        <v>230</v>
      </c>
      <c r="K14" s="6" t="s">
        <v>21</v>
      </c>
      <c r="L14" s="1"/>
      <c r="M14" s="6" t="s">
        <v>26</v>
      </c>
      <c r="N14" s="6" t="s">
        <v>27</v>
      </c>
      <c r="O14" s="7">
        <v>46256</v>
      </c>
    </row>
    <row r="15" spans="1:15" ht="60" customHeight="1" x14ac:dyDescent="0.3">
      <c r="A15" s="1" t="s">
        <v>101</v>
      </c>
      <c r="B15" s="1" t="s">
        <v>98</v>
      </c>
      <c r="C15" s="1" t="s">
        <v>102</v>
      </c>
      <c r="D15" s="6" t="s">
        <v>230</v>
      </c>
      <c r="E15" s="1" t="s">
        <v>103</v>
      </c>
      <c r="F15" s="6" t="s">
        <v>230</v>
      </c>
      <c r="G15" s="1" t="s">
        <v>21</v>
      </c>
      <c r="H15" s="1" t="s">
        <v>91</v>
      </c>
      <c r="I15" s="1" t="s">
        <v>23</v>
      </c>
      <c r="J15" s="6" t="s">
        <v>230</v>
      </c>
      <c r="K15" s="6" t="s">
        <v>21</v>
      </c>
      <c r="L15" s="1"/>
      <c r="M15" s="6" t="s">
        <v>26</v>
      </c>
      <c r="N15" s="6" t="s">
        <v>27</v>
      </c>
      <c r="O15" s="7">
        <v>46256</v>
      </c>
    </row>
    <row r="16" spans="1:15" ht="60" customHeight="1" x14ac:dyDescent="0.3">
      <c r="A16" s="1" t="s">
        <v>104</v>
      </c>
      <c r="B16" s="1" t="s">
        <v>105</v>
      </c>
      <c r="C16" s="1" t="s">
        <v>106</v>
      </c>
      <c r="D16" s="6" t="s">
        <v>107</v>
      </c>
      <c r="E16" s="1" t="s">
        <v>108</v>
      </c>
      <c r="F16" s="6" t="s">
        <v>108</v>
      </c>
      <c r="G16" s="1" t="s">
        <v>33</v>
      </c>
      <c r="H16" s="1" t="s">
        <v>22</v>
      </c>
      <c r="I16" s="1" t="s">
        <v>34</v>
      </c>
      <c r="J16" s="6" t="s">
        <v>26</v>
      </c>
      <c r="K16" s="6" t="s">
        <v>33</v>
      </c>
      <c r="L16" s="1"/>
      <c r="M16" s="6" t="s">
        <v>26</v>
      </c>
      <c r="N16" s="6" t="s">
        <v>27</v>
      </c>
      <c r="O16" s="7">
        <v>46256</v>
      </c>
    </row>
    <row r="17" spans="1:15" ht="60" customHeight="1" x14ac:dyDescent="0.3">
      <c r="A17" s="1" t="s">
        <v>109</v>
      </c>
      <c r="B17" s="1" t="s">
        <v>105</v>
      </c>
      <c r="C17" s="1" t="s">
        <v>110</v>
      </c>
      <c r="D17" s="6" t="s">
        <v>111</v>
      </c>
      <c r="E17" s="1" t="s">
        <v>112</v>
      </c>
      <c r="F17" s="6" t="s">
        <v>113</v>
      </c>
      <c r="G17" s="1" t="s">
        <v>33</v>
      </c>
      <c r="H17" s="1" t="s">
        <v>22</v>
      </c>
      <c r="I17" s="1" t="s">
        <v>34</v>
      </c>
      <c r="J17" s="6" t="s">
        <v>26</v>
      </c>
      <c r="K17" s="6" t="s">
        <v>33</v>
      </c>
      <c r="L17" s="1"/>
      <c r="M17" s="6" t="s">
        <v>26</v>
      </c>
      <c r="N17" s="6" t="s">
        <v>27</v>
      </c>
      <c r="O17" s="7">
        <v>46256</v>
      </c>
    </row>
    <row r="18" spans="1:15" ht="60" customHeight="1" x14ac:dyDescent="0.3">
      <c r="A18" s="1" t="s">
        <v>114</v>
      </c>
      <c r="B18" s="1" t="s">
        <v>115</v>
      </c>
      <c r="C18" s="1" t="s">
        <v>116</v>
      </c>
      <c r="D18" s="6" t="s">
        <v>117</v>
      </c>
      <c r="E18" s="1" t="s">
        <v>118</v>
      </c>
      <c r="F18" s="6" t="s">
        <v>117</v>
      </c>
      <c r="G18" s="1" t="s">
        <v>21</v>
      </c>
      <c r="H18" s="1" t="s">
        <v>91</v>
      </c>
      <c r="I18" s="1" t="s">
        <v>34</v>
      </c>
      <c r="J18" s="6" t="s">
        <v>117</v>
      </c>
      <c r="K18" s="6" t="s">
        <v>21</v>
      </c>
      <c r="L18" s="1"/>
      <c r="M18" s="6" t="s">
        <v>119</v>
      </c>
      <c r="N18" s="6" t="s">
        <v>27</v>
      </c>
      <c r="O18" s="7">
        <v>46256</v>
      </c>
    </row>
    <row r="19" spans="1:15" ht="60" customHeight="1" x14ac:dyDescent="0.3">
      <c r="A19" s="1" t="s">
        <v>120</v>
      </c>
      <c r="B19" s="1" t="s">
        <v>115</v>
      </c>
      <c r="C19" s="1" t="s">
        <v>121</v>
      </c>
      <c r="D19" s="6" t="s">
        <v>117</v>
      </c>
      <c r="E19" s="1" t="s">
        <v>122</v>
      </c>
      <c r="F19" s="6" t="s">
        <v>117</v>
      </c>
      <c r="G19" s="1" t="s">
        <v>21</v>
      </c>
      <c r="H19" s="1" t="s">
        <v>91</v>
      </c>
      <c r="I19" s="1" t="s">
        <v>34</v>
      </c>
      <c r="J19" s="6" t="s">
        <v>117</v>
      </c>
      <c r="K19" s="6" t="s">
        <v>21</v>
      </c>
      <c r="L19" s="1"/>
      <c r="M19" s="6" t="s">
        <v>119</v>
      </c>
      <c r="N19" s="6" t="s">
        <v>27</v>
      </c>
      <c r="O19" s="7">
        <v>46256</v>
      </c>
    </row>
    <row r="20" spans="1:15" ht="60" customHeight="1" x14ac:dyDescent="0.3">
      <c r="A20" s="1" t="s">
        <v>123</v>
      </c>
      <c r="B20" s="1" t="s">
        <v>124</v>
      </c>
      <c r="C20" s="1" t="s">
        <v>125</v>
      </c>
      <c r="D20" s="6" t="s">
        <v>126</v>
      </c>
      <c r="E20" s="1" t="s">
        <v>127</v>
      </c>
      <c r="F20" s="6" t="s">
        <v>126</v>
      </c>
      <c r="G20" s="1" t="s">
        <v>82</v>
      </c>
      <c r="H20" s="1" t="s">
        <v>41</v>
      </c>
      <c r="I20" s="1" t="s">
        <v>23</v>
      </c>
      <c r="J20" s="6" t="s">
        <v>126</v>
      </c>
      <c r="K20" s="6" t="s">
        <v>40</v>
      </c>
      <c r="L20" s="1" t="s">
        <v>128</v>
      </c>
      <c r="M20" s="6" t="s">
        <v>26</v>
      </c>
      <c r="N20" s="6" t="s">
        <v>27</v>
      </c>
      <c r="O20" s="7">
        <v>46256</v>
      </c>
    </row>
    <row r="21" spans="1:15" ht="60" customHeight="1" x14ac:dyDescent="0.3">
      <c r="A21" s="1" t="s">
        <v>129</v>
      </c>
      <c r="B21" s="1" t="s">
        <v>124</v>
      </c>
      <c r="C21" s="1" t="s">
        <v>130</v>
      </c>
      <c r="D21" s="6" t="s">
        <v>126</v>
      </c>
      <c r="E21" s="1" t="s">
        <v>131</v>
      </c>
      <c r="F21" s="6" t="s">
        <v>126</v>
      </c>
      <c r="G21" s="1" t="s">
        <v>40</v>
      </c>
      <c r="H21" s="1" t="s">
        <v>91</v>
      </c>
      <c r="I21" s="1" t="s">
        <v>23</v>
      </c>
      <c r="J21" s="6" t="s">
        <v>126</v>
      </c>
      <c r="K21" s="6" t="s">
        <v>40</v>
      </c>
      <c r="L21" s="1"/>
      <c r="M21" s="6" t="s">
        <v>26</v>
      </c>
      <c r="N21" s="6" t="s">
        <v>27</v>
      </c>
      <c r="O21" s="7">
        <v>46256</v>
      </c>
    </row>
    <row r="22" spans="1:15" ht="60" customHeight="1" x14ac:dyDescent="0.3">
      <c r="A22" s="1" t="s">
        <v>132</v>
      </c>
      <c r="B22" s="1" t="s">
        <v>133</v>
      </c>
      <c r="C22" s="1" t="s">
        <v>134</v>
      </c>
      <c r="D22" s="6" t="s">
        <v>135</v>
      </c>
      <c r="E22" s="1" t="s">
        <v>136</v>
      </c>
      <c r="F22" s="6" t="s">
        <v>137</v>
      </c>
      <c r="G22" s="1" t="s">
        <v>40</v>
      </c>
      <c r="H22" s="1" t="s">
        <v>41</v>
      </c>
      <c r="I22" s="1" t="s">
        <v>23</v>
      </c>
      <c r="J22" s="6" t="s">
        <v>138</v>
      </c>
      <c r="K22" s="6" t="s">
        <v>40</v>
      </c>
      <c r="L22" s="1" t="s">
        <v>139</v>
      </c>
      <c r="M22" s="6" t="s">
        <v>26</v>
      </c>
      <c r="N22" s="6" t="s">
        <v>27</v>
      </c>
      <c r="O22" s="7">
        <v>46256</v>
      </c>
    </row>
    <row r="23" spans="1:15" ht="60" customHeight="1" x14ac:dyDescent="0.3">
      <c r="A23" s="1" t="s">
        <v>140</v>
      </c>
      <c r="B23" s="1" t="s">
        <v>141</v>
      </c>
      <c r="C23" s="1" t="s">
        <v>142</v>
      </c>
      <c r="D23" s="6" t="s">
        <v>143</v>
      </c>
      <c r="E23" s="1" t="s">
        <v>144</v>
      </c>
      <c r="F23" s="6" t="s">
        <v>145</v>
      </c>
      <c r="G23" s="1" t="s">
        <v>33</v>
      </c>
      <c r="H23" s="1" t="s">
        <v>22</v>
      </c>
      <c r="I23" s="1" t="s">
        <v>34</v>
      </c>
      <c r="J23" s="6" t="s">
        <v>26</v>
      </c>
      <c r="K23" s="6" t="s">
        <v>33</v>
      </c>
      <c r="L23" s="1"/>
      <c r="M23" s="6" t="s">
        <v>146</v>
      </c>
      <c r="N23" s="6" t="s">
        <v>27</v>
      </c>
      <c r="O23" s="7">
        <v>46256</v>
      </c>
    </row>
    <row r="24" spans="1:15" ht="60" customHeight="1" x14ac:dyDescent="0.3">
      <c r="A24" s="1" t="s">
        <v>147</v>
      </c>
      <c r="B24" s="1" t="s">
        <v>148</v>
      </c>
      <c r="C24" s="1" t="s">
        <v>149</v>
      </c>
      <c r="D24" s="6" t="s">
        <v>150</v>
      </c>
      <c r="E24" s="1" t="s">
        <v>151</v>
      </c>
      <c r="F24" s="6" t="s">
        <v>150</v>
      </c>
      <c r="G24" s="1" t="s">
        <v>21</v>
      </c>
      <c r="H24" s="1" t="s">
        <v>91</v>
      </c>
      <c r="I24" s="1" t="s">
        <v>23</v>
      </c>
      <c r="J24" s="6" t="s">
        <v>26</v>
      </c>
      <c r="K24" s="6" t="s">
        <v>21</v>
      </c>
      <c r="L24" s="1"/>
      <c r="M24" s="6" t="s">
        <v>150</v>
      </c>
      <c r="N24" s="6" t="s">
        <v>27</v>
      </c>
      <c r="O24" s="7">
        <v>46256</v>
      </c>
    </row>
    <row r="25" spans="1:15" ht="60" customHeight="1" x14ac:dyDescent="0.3">
      <c r="A25" s="1" t="s">
        <v>152</v>
      </c>
      <c r="B25" s="1" t="s">
        <v>153</v>
      </c>
      <c r="C25" s="1" t="s">
        <v>154</v>
      </c>
      <c r="D25" s="6" t="s">
        <v>150</v>
      </c>
      <c r="E25" s="1" t="s">
        <v>155</v>
      </c>
      <c r="F25" s="6" t="s">
        <v>150</v>
      </c>
      <c r="G25" s="1" t="s">
        <v>21</v>
      </c>
      <c r="H25" s="1" t="s">
        <v>91</v>
      </c>
      <c r="I25" s="1" t="s">
        <v>23</v>
      </c>
      <c r="J25" s="6" t="s">
        <v>26</v>
      </c>
      <c r="K25" s="6" t="s">
        <v>21</v>
      </c>
      <c r="L25" s="1"/>
      <c r="M25" s="6" t="s">
        <v>150</v>
      </c>
      <c r="N25" s="6" t="s">
        <v>27</v>
      </c>
      <c r="O25" s="7">
        <v>46256</v>
      </c>
    </row>
    <row r="26" spans="1:15" ht="60" customHeight="1" x14ac:dyDescent="0.3">
      <c r="A26" s="1" t="s">
        <v>156</v>
      </c>
      <c r="B26" s="1" t="s">
        <v>157</v>
      </c>
      <c r="C26" s="1" t="s">
        <v>158</v>
      </c>
      <c r="D26" s="6" t="s">
        <v>203</v>
      </c>
      <c r="E26" s="1" t="s">
        <v>59</v>
      </c>
      <c r="F26" s="6" t="s">
        <v>204</v>
      </c>
      <c r="G26" s="1" t="s">
        <v>21</v>
      </c>
      <c r="H26" s="1" t="s">
        <v>22</v>
      </c>
      <c r="I26" s="1" t="s">
        <v>34</v>
      </c>
      <c r="J26" s="6" t="s">
        <v>26</v>
      </c>
      <c r="K26" s="6" t="s">
        <v>21</v>
      </c>
      <c r="L26" s="1"/>
      <c r="M26" s="6" t="s">
        <v>163</v>
      </c>
      <c r="N26" s="6" t="s">
        <v>27</v>
      </c>
      <c r="O26" s="7">
        <v>46258</v>
      </c>
    </row>
    <row r="27" spans="1:15" ht="60" customHeight="1" x14ac:dyDescent="0.3">
      <c r="A27" s="1" t="s">
        <v>160</v>
      </c>
      <c r="B27" s="1" t="s">
        <v>157</v>
      </c>
      <c r="C27" s="1" t="s">
        <v>161</v>
      </c>
      <c r="D27" s="6" t="s">
        <v>205</v>
      </c>
      <c r="E27" s="1" t="s">
        <v>162</v>
      </c>
      <c r="F27" s="6" t="s">
        <v>206</v>
      </c>
      <c r="G27" s="1" t="s">
        <v>33</v>
      </c>
      <c r="H27" s="1" t="s">
        <v>22</v>
      </c>
      <c r="I27" s="1" t="s">
        <v>34</v>
      </c>
      <c r="J27" s="6" t="s">
        <v>26</v>
      </c>
      <c r="K27" s="6" t="s">
        <v>33</v>
      </c>
      <c r="L27" s="1"/>
      <c r="M27" s="6" t="s">
        <v>26</v>
      </c>
      <c r="N27" s="6" t="s">
        <v>27</v>
      </c>
      <c r="O27" s="7">
        <v>46258</v>
      </c>
    </row>
    <row r="28" spans="1:15" ht="60" customHeight="1" x14ac:dyDescent="0.3">
      <c r="A28" s="1" t="s">
        <v>164</v>
      </c>
      <c r="B28" s="1" t="s">
        <v>157</v>
      </c>
      <c r="C28" s="1" t="s">
        <v>165</v>
      </c>
      <c r="D28" s="6" t="s">
        <v>207</v>
      </c>
      <c r="E28" s="1" t="s">
        <v>166</v>
      </c>
      <c r="F28" s="6" t="s">
        <v>208</v>
      </c>
      <c r="G28" s="1" t="s">
        <v>21</v>
      </c>
      <c r="H28" s="1" t="s">
        <v>91</v>
      </c>
      <c r="I28" s="1" t="s">
        <v>34</v>
      </c>
      <c r="J28" s="6" t="s">
        <v>26</v>
      </c>
      <c r="K28" s="6" t="s">
        <v>21</v>
      </c>
      <c r="L28" s="1"/>
      <c r="M28" s="6" t="s">
        <v>26</v>
      </c>
      <c r="N28" s="6" t="s">
        <v>27</v>
      </c>
      <c r="O28" s="7">
        <v>46259</v>
      </c>
    </row>
    <row r="29" spans="1:15" ht="60" customHeight="1" x14ac:dyDescent="0.3">
      <c r="A29" s="1" t="s">
        <v>167</v>
      </c>
      <c r="B29" s="1" t="s">
        <v>157</v>
      </c>
      <c r="C29" s="1" t="s">
        <v>168</v>
      </c>
      <c r="D29" s="6" t="s">
        <v>209</v>
      </c>
      <c r="E29" s="1" t="s">
        <v>169</v>
      </c>
      <c r="F29" s="6" t="s">
        <v>210</v>
      </c>
      <c r="G29" s="1" t="s">
        <v>33</v>
      </c>
      <c r="H29" s="1" t="s">
        <v>22</v>
      </c>
      <c r="I29" s="1" t="s">
        <v>34</v>
      </c>
      <c r="J29" s="6" t="s">
        <v>26</v>
      </c>
      <c r="K29" s="6" t="s">
        <v>33</v>
      </c>
      <c r="L29" s="1"/>
      <c r="M29" s="6" t="s">
        <v>26</v>
      </c>
      <c r="N29" s="6" t="s">
        <v>27</v>
      </c>
      <c r="O29" s="7">
        <v>46259</v>
      </c>
    </row>
    <row r="30" spans="1:15" ht="60" customHeight="1" x14ac:dyDescent="0.3">
      <c r="A30" s="1" t="s">
        <v>170</v>
      </c>
      <c r="B30" s="1" t="s">
        <v>157</v>
      </c>
      <c r="C30" s="1" t="s">
        <v>171</v>
      </c>
      <c r="D30" s="6" t="s">
        <v>211</v>
      </c>
      <c r="E30" s="1" t="s">
        <v>172</v>
      </c>
      <c r="F30" s="6" t="s">
        <v>212</v>
      </c>
      <c r="G30" s="1" t="s">
        <v>33</v>
      </c>
      <c r="H30" s="1" t="s">
        <v>22</v>
      </c>
      <c r="I30" s="1" t="s">
        <v>34</v>
      </c>
      <c r="J30" s="6" t="s">
        <v>26</v>
      </c>
      <c r="K30" s="6" t="s">
        <v>33</v>
      </c>
      <c r="L30" s="1"/>
      <c r="M30" s="6" t="s">
        <v>26</v>
      </c>
      <c r="N30" s="6" t="s">
        <v>27</v>
      </c>
      <c r="O30" s="7">
        <v>46259</v>
      </c>
    </row>
    <row r="31" spans="1:15" ht="60" customHeight="1" x14ac:dyDescent="0.3">
      <c r="A31" s="1" t="s">
        <v>173</v>
      </c>
      <c r="B31" s="1" t="s">
        <v>157</v>
      </c>
      <c r="C31" s="1" t="s">
        <v>174</v>
      </c>
      <c r="D31" s="6" t="s">
        <v>213</v>
      </c>
      <c r="E31" s="1" t="s">
        <v>175</v>
      </c>
      <c r="F31" s="6" t="s">
        <v>214</v>
      </c>
      <c r="G31" s="1" t="s">
        <v>40</v>
      </c>
      <c r="H31" s="1" t="s">
        <v>41</v>
      </c>
      <c r="I31" s="1" t="s">
        <v>23</v>
      </c>
      <c r="J31" s="6" t="s">
        <v>215</v>
      </c>
      <c r="K31" s="6" t="s">
        <v>40</v>
      </c>
      <c r="L31" s="1" t="s">
        <v>218</v>
      </c>
      <c r="M31" s="6" t="s">
        <v>26</v>
      </c>
      <c r="N31" s="6" t="s">
        <v>27</v>
      </c>
      <c r="O31" s="7">
        <v>46259</v>
      </c>
    </row>
    <row r="32" spans="1:15" ht="60" customHeight="1" x14ac:dyDescent="0.3">
      <c r="A32" s="1" t="s">
        <v>176</v>
      </c>
      <c r="B32" s="1" t="s">
        <v>157</v>
      </c>
      <c r="C32" s="1" t="s">
        <v>177</v>
      </c>
      <c r="D32" s="6" t="s">
        <v>216</v>
      </c>
      <c r="E32" s="1" t="s">
        <v>91</v>
      </c>
      <c r="F32" s="6" t="s">
        <v>217</v>
      </c>
      <c r="G32" s="1" t="s">
        <v>33</v>
      </c>
      <c r="H32" s="1" t="s">
        <v>22</v>
      </c>
      <c r="I32" s="1" t="s">
        <v>34</v>
      </c>
      <c r="J32" s="6" t="s">
        <v>26</v>
      </c>
      <c r="K32" s="6" t="s">
        <v>33</v>
      </c>
      <c r="L32" s="1"/>
      <c r="M32" s="6" t="s">
        <v>26</v>
      </c>
      <c r="N32" s="6" t="s">
        <v>27</v>
      </c>
      <c r="O32" s="7">
        <v>46259</v>
      </c>
    </row>
    <row r="33" spans="1:15" ht="100.8" x14ac:dyDescent="0.3">
      <c r="A33" s="1" t="s">
        <v>178</v>
      </c>
      <c r="B33" s="1" t="s">
        <v>179</v>
      </c>
      <c r="C33" s="1" t="s">
        <v>180</v>
      </c>
      <c r="D33" s="6" t="s">
        <v>220</v>
      </c>
      <c r="E33" s="1" t="s">
        <v>181</v>
      </c>
      <c r="F33" s="6" t="s">
        <v>219</v>
      </c>
      <c r="G33" s="1" t="s">
        <v>40</v>
      </c>
      <c r="H33" s="1" t="s">
        <v>41</v>
      </c>
      <c r="I33" s="1" t="s">
        <v>23</v>
      </c>
      <c r="J33" s="6" t="s">
        <v>222</v>
      </c>
      <c r="K33" s="6" t="s">
        <v>40</v>
      </c>
      <c r="L33" s="1" t="s">
        <v>223</v>
      </c>
      <c r="M33" s="6" t="s">
        <v>26</v>
      </c>
      <c r="N33" s="6" t="s">
        <v>27</v>
      </c>
      <c r="O33" s="7">
        <v>46259</v>
      </c>
    </row>
    <row r="34" spans="1:15" ht="129.6" x14ac:dyDescent="0.3">
      <c r="A34" s="1" t="s">
        <v>182</v>
      </c>
      <c r="B34" s="1" t="s">
        <v>179</v>
      </c>
      <c r="C34" s="1" t="s">
        <v>183</v>
      </c>
      <c r="D34" s="6" t="s">
        <v>224</v>
      </c>
      <c r="E34" s="1" t="s">
        <v>181</v>
      </c>
      <c r="F34" s="10" t="s">
        <v>225</v>
      </c>
      <c r="G34" s="1" t="s">
        <v>82</v>
      </c>
      <c r="H34" s="1" t="s">
        <v>41</v>
      </c>
      <c r="I34" s="1" t="s">
        <v>23</v>
      </c>
      <c r="J34" s="6" t="s">
        <v>226</v>
      </c>
      <c r="K34" s="6"/>
      <c r="L34" s="1" t="s">
        <v>223</v>
      </c>
      <c r="M34" s="6" t="s">
        <v>26</v>
      </c>
      <c r="N34" s="6" t="s">
        <v>27</v>
      </c>
      <c r="O34" s="7">
        <v>46259</v>
      </c>
    </row>
    <row r="35" spans="1:15" x14ac:dyDescent="0.3">
      <c r="A35" s="1" t="s">
        <v>184</v>
      </c>
      <c r="B35" s="1" t="s">
        <v>185</v>
      </c>
      <c r="C35" s="1" t="s">
        <v>186</v>
      </c>
      <c r="D35" s="6" t="s">
        <v>228</v>
      </c>
      <c r="E35" s="1" t="s">
        <v>187</v>
      </c>
      <c r="F35" s="6" t="s">
        <v>229</v>
      </c>
      <c r="G35" s="1" t="s">
        <v>33</v>
      </c>
      <c r="H35" s="1" t="s">
        <v>22</v>
      </c>
      <c r="I35" s="1" t="s">
        <v>34</v>
      </c>
      <c r="J35" s="6" t="s">
        <v>26</v>
      </c>
      <c r="K35" s="6"/>
      <c r="L35" s="1"/>
      <c r="M35" s="6" t="s">
        <v>26</v>
      </c>
      <c r="N35" s="6" t="s">
        <v>27</v>
      </c>
      <c r="O35" s="7">
        <v>46259</v>
      </c>
    </row>
    <row r="36" spans="1:15" ht="43.2" x14ac:dyDescent="0.3">
      <c r="A36" s="1" t="s">
        <v>188</v>
      </c>
      <c r="B36" s="1" t="s">
        <v>189</v>
      </c>
      <c r="C36" s="1" t="s">
        <v>190</v>
      </c>
      <c r="D36" s="6" t="s">
        <v>227</v>
      </c>
      <c r="E36" s="1" t="s">
        <v>191</v>
      </c>
      <c r="F36" s="6" t="s">
        <v>150</v>
      </c>
      <c r="G36" s="1" t="s">
        <v>33</v>
      </c>
      <c r="H36" s="1" t="s">
        <v>91</v>
      </c>
      <c r="I36" s="1" t="s">
        <v>34</v>
      </c>
      <c r="J36" s="6" t="s">
        <v>26</v>
      </c>
      <c r="K36" s="6"/>
      <c r="L36" s="1"/>
      <c r="M36" s="6" t="s">
        <v>26</v>
      </c>
      <c r="N36" s="6" t="s">
        <v>27</v>
      </c>
      <c r="O36" s="7">
        <v>46259</v>
      </c>
    </row>
    <row r="37" spans="1:15" x14ac:dyDescent="0.3">
      <c r="A37" s="1" t="s">
        <v>192</v>
      </c>
      <c r="B37" s="1" t="s">
        <v>189</v>
      </c>
      <c r="C37" s="1" t="s">
        <v>193</v>
      </c>
      <c r="D37" s="6" t="s">
        <v>231</v>
      </c>
      <c r="E37" s="1" t="s">
        <v>194</v>
      </c>
      <c r="F37" s="6" t="s">
        <v>231</v>
      </c>
      <c r="G37" s="1" t="s">
        <v>82</v>
      </c>
      <c r="H37" s="1" t="s">
        <v>41</v>
      </c>
      <c r="I37" s="1" t="s">
        <v>221</v>
      </c>
      <c r="J37" s="6" t="s">
        <v>26</v>
      </c>
      <c r="K37" s="6"/>
      <c r="L37" s="1"/>
      <c r="M37" s="6" t="s">
        <v>26</v>
      </c>
      <c r="N37" s="6" t="s">
        <v>27</v>
      </c>
      <c r="O37" s="7">
        <v>46259</v>
      </c>
    </row>
  </sheetData>
  <autoFilter ref="A1:O37" xr:uid="{00000000-0009-0000-0000-000001000000}"/>
  <conditionalFormatting sqref="H2:H32">
    <cfRule type="expression" dxfId="3" priority="1">
      <formula>H2="Pass"</formula>
    </cfRule>
    <cfRule type="expression" dxfId="2" priority="2">
      <formula>H2="Fail"</formula>
    </cfRule>
    <cfRule type="expression" dxfId="1" priority="3">
      <formula>H2="Blocked"</formula>
    </cfRule>
  </conditionalFormatting>
  <conditionalFormatting sqref="I2:I32">
    <cfRule type="expression" dxfId="0" priority="4">
      <formula>I2="Yes"</formula>
    </cfRule>
  </conditionalFormatting>
  <dataValidations count="3">
    <dataValidation type="list" sqref="H2:H32" xr:uid="{00000000-0002-0000-0100-000000000000}">
      <formula1>"Pass,Fail,Blocked,Not Tested"</formula1>
    </dataValidation>
    <dataValidation type="list" sqref="I2:I32" xr:uid="{00000000-0002-0000-0100-000001000000}">
      <formula1>"Yes,No"</formula1>
    </dataValidation>
    <dataValidation type="list" allowBlank="1" sqref="G2:G32 K2:K32" xr:uid="{00000000-0002-0000-0100-000002000000}">
      <formula1>"Critical,High,Medium,Low"</formula1>
    </dataValidation>
  </dataValidation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4"/>
  <sheetViews>
    <sheetView workbookViewId="0">
      <selection activeCell="A3" sqref="A3:W3"/>
    </sheetView>
  </sheetViews>
  <sheetFormatPr defaultRowHeight="14.4" x14ac:dyDescent="0.3"/>
  <sheetData>
    <row r="1" spans="1:23" x14ac:dyDescent="0.3">
      <c r="A1" s="8" t="s">
        <v>200</v>
      </c>
      <c r="B1" s="9"/>
      <c r="C1" s="9"/>
      <c r="D1" s="9"/>
      <c r="E1" s="9"/>
      <c r="F1" s="9"/>
      <c r="G1" s="9"/>
      <c r="H1" s="9"/>
      <c r="I1" s="9"/>
      <c r="J1" s="9"/>
      <c r="K1" s="9"/>
      <c r="L1" s="9"/>
      <c r="M1" s="9"/>
      <c r="N1" s="9"/>
      <c r="O1" s="9"/>
      <c r="P1" s="9"/>
      <c r="Q1" s="9"/>
      <c r="R1" s="9"/>
      <c r="S1" s="9"/>
      <c r="T1" s="9"/>
      <c r="U1" s="9"/>
      <c r="V1" s="9"/>
      <c r="W1" s="9"/>
    </row>
    <row r="2" spans="1:23" x14ac:dyDescent="0.3">
      <c r="A2" s="8" t="s">
        <v>201</v>
      </c>
      <c r="B2" s="9"/>
      <c r="C2" s="9"/>
      <c r="D2" s="9"/>
      <c r="E2" s="9"/>
      <c r="F2" s="9"/>
      <c r="G2" s="9"/>
      <c r="H2" s="9"/>
      <c r="I2" s="9"/>
      <c r="J2" s="9"/>
      <c r="K2" s="9"/>
      <c r="L2" s="9"/>
      <c r="M2" s="9"/>
      <c r="N2" s="9"/>
      <c r="O2" s="9"/>
      <c r="P2" s="9"/>
      <c r="Q2" s="9"/>
      <c r="R2" s="9"/>
      <c r="S2" s="9"/>
      <c r="T2" s="9"/>
      <c r="U2" s="9"/>
      <c r="V2" s="9"/>
      <c r="W2" s="9"/>
    </row>
    <row r="3" spans="1:23" x14ac:dyDescent="0.3">
      <c r="A3" s="8" t="s">
        <v>202</v>
      </c>
      <c r="B3" s="9"/>
      <c r="C3" s="9"/>
      <c r="D3" s="9"/>
      <c r="E3" s="9"/>
      <c r="F3" s="9"/>
      <c r="G3" s="9"/>
      <c r="H3" s="9"/>
      <c r="I3" s="9"/>
      <c r="J3" s="9"/>
      <c r="K3" s="9"/>
      <c r="L3" s="9"/>
      <c r="M3" s="9"/>
      <c r="N3" s="9"/>
      <c r="O3" s="9"/>
      <c r="P3" s="9"/>
      <c r="Q3" s="9"/>
      <c r="R3" s="9"/>
      <c r="S3" s="9"/>
      <c r="T3" s="9"/>
      <c r="U3" s="9"/>
      <c r="V3" s="9"/>
      <c r="W3" s="9"/>
    </row>
    <row r="4" spans="1:23" x14ac:dyDescent="0.3">
      <c r="A4" s="8"/>
      <c r="B4" s="9"/>
      <c r="C4" s="9"/>
      <c r="D4" s="9"/>
      <c r="E4" s="9"/>
      <c r="F4" s="9"/>
      <c r="G4" s="9"/>
      <c r="H4" s="9"/>
      <c r="I4" s="9"/>
      <c r="J4" s="9"/>
      <c r="K4" s="9"/>
      <c r="L4" s="9"/>
      <c r="M4" s="9"/>
      <c r="N4" s="9"/>
      <c r="O4" s="9"/>
      <c r="P4" s="9"/>
      <c r="Q4" s="9"/>
      <c r="R4" s="9"/>
      <c r="S4" s="9"/>
      <c r="T4" s="9"/>
      <c r="U4" s="9"/>
      <c r="V4" s="9"/>
      <c r="W4" s="9"/>
    </row>
  </sheetData>
  <mergeCells count="4">
    <mergeCell ref="A3:W3"/>
    <mergeCell ref="A2:W2"/>
    <mergeCell ref="A1:W1"/>
    <mergeCell ref="A4:W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Summary</vt:lpstr>
      <vt:lpstr>LMS Test Cases</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siddhartha pamarthi</cp:lastModifiedBy>
  <dcterms:created xsi:type="dcterms:W3CDTF">2026-08-15T13:54:25Z</dcterms:created>
  <dcterms:modified xsi:type="dcterms:W3CDTF">2026-08-25T20:44:26Z</dcterms:modified>
</cp:coreProperties>
</file>