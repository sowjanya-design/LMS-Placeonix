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D:\Placeonix\"/>
    </mc:Choice>
  </mc:AlternateContent>
  <xr:revisionPtr revIDLastSave="0" documentId="13_ncr:1_{FBB1E059-0CC0-4992-9AE1-4CAF1E52B2A1}" xr6:coauthVersionLast="47" xr6:coauthVersionMax="47" xr10:uidLastSave="{00000000-0000-0000-0000-000000000000}"/>
  <bookViews>
    <workbookView xWindow="-110" yWindow="-110" windowWidth="19420" windowHeight="11020" tabRatio="500" xr2:uid="{00000000-000D-0000-FFFF-FFFF00000000}"/>
  </bookViews>
  <sheets>
    <sheet name="Read Me" sheetId="1" r:id="rId1"/>
    <sheet name="Bug Tracker" sheetId="2" r:id="rId2"/>
    <sheet name="Summary Dashboard" sheetId="3" r:id="rId3"/>
    <sheet name="Root Cause Categories" sheetId="4" r:id="rId4"/>
  </sheets>
  <definedNames>
    <definedName name="_xlnm._FilterDatabase" localSheetId="1" hidden="1">'Bug Tracker'!$A$1:$N$28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8" i="3" l="1"/>
  <c r="F9" i="3"/>
  <c r="F10" i="3"/>
  <c r="F11" i="3"/>
  <c r="F12" i="3"/>
  <c r="F13" i="3"/>
  <c r="F14" i="3"/>
  <c r="F15" i="3"/>
  <c r="F16" i="3"/>
  <c r="F17" i="3"/>
  <c r="F18" i="3"/>
  <c r="F19" i="3"/>
  <c r="F20" i="3"/>
  <c r="F21" i="3"/>
  <c r="F22" i="3"/>
  <c r="F23" i="3"/>
  <c r="F24" i="3"/>
  <c r="F25" i="3"/>
  <c r="F26" i="3"/>
  <c r="F27" i="3"/>
  <c r="C7" i="3"/>
  <c r="C25" i="3"/>
  <c r="C24" i="3"/>
  <c r="C23" i="3"/>
  <c r="C22" i="3"/>
  <c r="C21" i="3"/>
  <c r="C20" i="3"/>
  <c r="C19" i="3"/>
  <c r="C18" i="3"/>
  <c r="C17" i="3"/>
  <c r="C16" i="3"/>
  <c r="C10" i="3"/>
  <c r="C9" i="3"/>
  <c r="C8" i="3"/>
  <c r="F7" i="3"/>
  <c r="C11" i="3" l="1"/>
</calcChain>
</file>

<file path=xl/sharedStrings.xml><?xml version="1.0" encoding="utf-8"?>
<sst xmlns="http://schemas.openxmlformats.org/spreadsheetml/2006/main" count="489" uniqueCount="361">
  <si>
    <t>Placeonix Dashboard — Bug &amp; Defect Register</t>
  </si>
  <si>
    <t>Prepared for: Placeonix</t>
  </si>
  <si>
    <t>Scope: https://placeonix-dashboard.vercel.app/ — every clickable control across all three roles</t>
  </si>
  <si>
    <t>Method: Manual button-by-button functional QA pass (live browser testing), form validation testing, cross-screen data consistency checks</t>
  </si>
  <si>
    <t>How to use this workbook</t>
  </si>
  <si>
    <t>2. Summary Dashboard — auto-calculated counts by Severity, Bug Type, and Role/Module (formulas update if rows are added to Bug Tracker, provided they stay inside the named table range).</t>
  </si>
  <si>
    <t>3. Root Cause Categories — a short glossary of the recurring root-cause patterns found, so similar future bugs can be triaged faster.</t>
  </si>
  <si>
    <t>4. Evidence &amp; Logs — column K/L on the Bug Tracker sheet describe what was visually observed on screen and any console/network signal at the time of testing. This build could not capture true DevTools console/network exports for every row; entries are the tester's direct on-screen and browser-state observations. Wire up Sentry/LogRocket or similar to get true stack traces for engineering triage.</t>
  </si>
  <si>
    <t>5. Screenshots — this workbook does not have image files embedded because the audit was performed through a remote browser session with no local file-save path for screenshots. The 'Screenshot Evidence' column instead describes precisely what the screen showed, including exact labels/values, so engineering can reproduce and confirm. If you can share a folder, re-run of the pass can save and embed real screenshots per row.</t>
  </si>
  <si>
    <t>6. Colors: rows are shaded by Severity (red = Critical, orange = High, yellow = Medium, green = Low) for quick visual triage.</t>
  </si>
  <si>
    <t>Legend</t>
  </si>
  <si>
    <t>Critical — Blocks core functionality, security exposure, or data integrity — fix before launch</t>
  </si>
  <si>
    <t>High — Major workflow broken or misleading for real users — fix in Sprint 1</t>
  </si>
  <si>
    <t>Medium — Noticeable defect / inconsistency, workaround exists — fix in Sprint 1-2</t>
  </si>
  <si>
    <t>Low — Cosmetic, minor, or edge-case — backlog</t>
  </si>
  <si>
    <t>Bug ID</t>
  </si>
  <si>
    <t>Role/Module</t>
  </si>
  <si>
    <t>Screen / Page</t>
  </si>
  <si>
    <t>Bug Type</t>
  </si>
  <si>
    <t>Severity</t>
  </si>
  <si>
    <t>Description</t>
  </si>
  <si>
    <t>Why It Occurred (Root Cause)</t>
  </si>
  <si>
    <t>Steps to Reproduce</t>
  </si>
  <si>
    <t>Expected Result</t>
  </si>
  <si>
    <t>Actual Result</t>
  </si>
  <si>
    <t>How to Resolve</t>
  </si>
  <si>
    <t>Screenshot Evidence (described)</t>
  </si>
  <si>
    <t>Console / Network Log Notes</t>
  </si>
  <si>
    <t>Status</t>
  </si>
  <si>
    <t>BUG-01</t>
  </si>
  <si>
    <t>Cross-Cutting / Security</t>
  </si>
  <si>
    <t>Security</t>
  </si>
  <si>
    <t>Critical</t>
  </si>
  <si>
    <t>Open</t>
  </si>
  <si>
    <t>BUG-02</t>
  </si>
  <si>
    <t>Student / Auth</t>
  </si>
  <si>
    <t>Login → Forgot Password</t>
  </si>
  <si>
    <t>Password reset flow does not adequately verify the requester's identity before allowing a reset, exposing a potential account-takeover path.</t>
  </si>
  <si>
    <t>Reset flow appears to trust the submitted email/OTP step without sufficient server-side verification or rate limiting.</t>
  </si>
  <si>
    <t>1. Go to login page. 2. Click Forgot Password. 3. Enter a target email. 4. Proceed through the reset steps.</t>
  </si>
  <si>
    <t>Reset should require a verified, time-limited, single-use token sent to the account owner, with rate limiting on attempts.</t>
  </si>
  <si>
    <t>Reset flow completes with minimal friction, raising account-takeover risk.</t>
  </si>
  <si>
    <t>Add server-side email/OTP verification with expiry, rate-limit reset attempts per account/IP, and log all reset events for audit.</t>
  </si>
  <si>
    <t>Forgot Password screen and the reset confirmation screen (see original Dashboard Audit Report, Security section).</t>
  </si>
  <si>
    <t>Not captured — recommend enabling backend auth logs to confirm the exact verification gap.</t>
  </si>
  <si>
    <t>BUG-03</t>
  </si>
  <si>
    <t>Student / Trainer / Admin</t>
  </si>
  <si>
    <t>Student → My Courses → class recording; Trainer → Resources → Intro Walkthrough (Video); Admin → Resources → Intro Walkthrough (Video)</t>
  </si>
  <si>
    <t>Functional</t>
  </si>
  <si>
    <t>Video playback is broken platform-wide: clicking “View” on any video resource, or a completed class “Recording”, opens a player that spins on an infinite loading indicator and never plays.</t>
  </si>
  <si>
    <t>Video player component is likely pointed at an invalid/unset video source URL, or the video CDN/embed integration was never wired up to real media.</t>
  </si>
  <si>
    <t>1. As Student: My Courses → a completed class → Recording. As Trainer/Admin: Resources → Intro Walkthrough (Video) → View.</t>
  </si>
  <si>
    <t>Video should load and play within a few seconds, or show a clear error if unavailable.</t>
  </si>
  <si>
    <t>Player shows a permanent loading spinner in all three roles; video never starts.</t>
  </si>
  <si>
    <t>Verify the video source URLs / CDN integration; add a timeout with a user-facing error state (“Video unavailable”) instead of an infinite spinner; add monitoring/alerting for broken media.</t>
  </si>
  <si>
    <t>Video modal centered on screen showing only a spinning loader icon, no controls, no error message, indefinitely.</t>
  </si>
  <si>
    <t>No visible console error captured during testing; recommend checking Network tab for a stalled/failed media request (pending or 4xx/5xx) the next time this is reproduced.</t>
  </si>
  <si>
    <t>BUG-04</t>
  </si>
  <si>
    <t>Cross-Cutting / UX</t>
  </si>
  <si>
    <t>Trainer → My Students → + New Assignment; Trainer → Batches → + Create Batch; Trainer → Office Hours → + Schedule Session; Admin → similar '+Add/Create/New' buttons</t>
  </si>
  <si>
    <t>UI/UX</t>
  </si>
  <si>
    <t>Medium</t>
  </si>
  <si>
    <t>Every “+ Add / Create / New” style button across the platform takes roughly 2–3 seconds to open its modal, with zero loading indicator (no spinner, no disabled state, no skeleton). During that window the button looks completely dead.</t>
  </si>
  <si>
    <t>Modal component and its form state are likely being lazily fetched/mounted client-side with no loading affordance wired to the button's click handler.</t>
  </si>
  <si>
    <t>1. Click any '+Add', '+Create', or '+New' button on Trainer or Admin screens. 2. Watch the button and page — nothing visibly happens for 2–3 seconds before the modal appears.</t>
  </si>
  <si>
    <t>Button should show an immediate loading state (spinner/disabled) so users know the click registered.</t>
  </si>
  <si>
    <t>Button appears unresponsive for 2–3 seconds before the modal renders, with no visual feedback in between — easily mistaken for a broken/dead button (this tester initially misdiagnosed several as dead before retrying with a longer wait).</t>
  </si>
  <si>
    <t>Add a loading/disabled state to the button on click, or optimistically render the modal shell while data loads inside it.</t>
  </si>
  <si>
    <t>Add Mentor modal, Create Batch modal, New Assignment modal, and Schedule Session modal all reproduce an identical multi-second delay with the trigger button showing no visual change.</t>
  </si>
  <si>
    <t>No console errors; likely a data-fetch or bundle-loading delay — recommend checking Network tab timing on modal-open click.</t>
  </si>
  <si>
    <t>BUG-05</t>
  </si>
  <si>
    <t>Admin → Mentors</t>
  </si>
  <si>
    <t>Admin → Mentors list</t>
  </si>
  <si>
    <t>Data Quality</t>
  </si>
  <si>
    <t>50% of records in the Mentors table (4 of 8) are clearly test/dummy entries: “babu B”, “siva test”, “Live Mentor”, “New Mentor”.</t>
  </si>
  <si>
    <t>Test data created during development/QA was never cleaned out of the production-facing database before this was reviewed.</t>
  </si>
  <si>
    <t>1. Log in as Admin. 2. Go to Mentors.</t>
  </si>
  <si>
    <t>Mentors list should contain only real, active mentor records.</t>
  </si>
  <si>
    <t>Roughly half the visible mentor list is placeholder/test data mixed in with real mentors.</t>
  </si>
  <si>
    <t>Run a data-hygiene pass to remove or clearly flag test accounts; add an environment separation (staging vs production data) to prevent recurrence.</t>
  </si>
  <si>
    <t>Mentors table showing rows for 'babu B', 'siva test', 'Live Mentor', 'New Mentor' interleaved with real-looking mentor names.</t>
  </si>
  <si>
    <t>N/A — data issue, not a runtime error.</t>
  </si>
  <si>
    <t>BUG-06</t>
  </si>
  <si>
    <t>Admin → Batches</t>
  </si>
  <si>
    <t>Admin → Batches list</t>
  </si>
  <si>
    <t>Batches list includes obviously fake entries: “test” and “Test Batch Z”.</t>
  </si>
  <si>
    <t>Same root cause as BUG-05 — leftover QA/dev data never purged.</t>
  </si>
  <si>
    <t>1. Log in as Admin. 2. Go to Batches.</t>
  </si>
  <si>
    <t>Batches list should contain only real, currently-running or scheduled batches.</t>
  </si>
  <si>
    <t>Test batches are visible in the same list as real ones with no way to distinguish them.</t>
  </si>
  <si>
    <t>Purge or clearly label test/demo batches; consider a soft “is_test” flag hidden from the main production view.</t>
  </si>
  <si>
    <t>Batches table showing 'test' and 'Test Batch Z' rows alongside legitimate batch names.</t>
  </si>
  <si>
    <t>BUG-07</t>
  </si>
  <si>
    <t>Admin → Companies</t>
  </si>
  <si>
    <t>Admin → Companies list</t>
  </si>
  <si>
    <t>High</t>
  </si>
  <si>
    <t>100% of the Companies records (3 of 3) are dummy data: “Avsora Test”, “Infosys 1572”, “test” — and none of them match the real company names that already appear on the Placements screen.</t>
  </si>
  <si>
    <t>Companies module was seeded with placeholder data during build and was never connected to / reconciled with the real company records used elsewhere in the app (Placements).</t>
  </si>
  <si>
    <t>1. Log in as Admin. 2. Go to Companies. 3. Compare names against Admin → Placements.</t>
  </si>
  <si>
    <t>Companies list should reflect the same real companies referenced in Placements, kept in sync.</t>
  </si>
  <si>
    <t>Every company record is fake, and the list is fully disconnected from the real company names shown on the Placements page.</t>
  </si>
  <si>
    <t>Rebuild/reconcile the Companies dataset from the real placement-drive data; add a foreign-key relationship (or shared source of truth) between Companies and Placements so they can't drift apart.</t>
  </si>
  <si>
    <t>Companies table showing only 'Avsora Test', 'Infosys 1572', 'test' — none matching real company names visible on the Placements page in the same session.</t>
  </si>
  <si>
    <t>BUG-08</t>
  </si>
  <si>
    <t>Admin → Leads</t>
  </si>
  <si>
    <t>Admin → Leads list</t>
  </si>
  <si>
    <t>Leads list contains at least two dummy entries: “test t” and “a b”.</t>
  </si>
  <si>
    <t>Same root cause as BUG-05/06 — QA/dev data never purged from production.</t>
  </si>
  <si>
    <t>1. Log in as Admin. 2. Go to Leads.</t>
  </si>
  <si>
    <t>Leads list should contain only real inbound leads.</t>
  </si>
  <si>
    <t>Placeholder leads are mixed into the real leads pipeline, which also risks polluting conversion/reporting metrics.</t>
  </si>
  <si>
    <t>Purge test leads; add a data-hygiene checklist before each release to production.</t>
  </si>
  <si>
    <t>Leads table showing 'test t' and 'a b' as lead names.</t>
  </si>
  <si>
    <t>BUG-09</t>
  </si>
  <si>
    <t>Admin → Students</t>
  </si>
  <si>
    <t>Admin → Students list</t>
  </si>
  <si>
    <t>Students table (the platform's core user table) contains multiple clearly fake/test entries: “m r”, “kezia K”, “k K”, “a b”, plus several auto-generated “Final Test1/2/3” accounts with placeholder emails like finalstu_1782410959_3@placeonix.in.</t>
  </si>
  <si>
    <t>Same recurring root cause — QA/load-test accounts created during development or testing were never cleaned out of the environment being reviewed as production.</t>
  </si>
  <si>
    <t>1. Log in as Admin. 2. Go to Students.</t>
  </si>
  <si>
    <t>Students table should contain only genuine enrolled students.</t>
  </si>
  <si>
    <t>At least 6 of the visible rows on the first page are test/junk accounts, some suspended, some active — mixed directly into the real roster.</t>
  </si>
  <si>
    <t>Bulk-delete or archive test accounts; add automated detection (e.g., flag accounts with auto-generated email patterns) before data is treated as production; separate test/staging environment going forward.</t>
  </si>
  <si>
    <t>Students table rows for 'm r', 'kezia K', 'k K', 'a b', 'Final Test3/2/1' with timestamped placeholder emails, shown in Status column as 'active' or 'suspended'.</t>
  </si>
  <si>
    <t>BUG-10</t>
  </si>
  <si>
    <t>Admin → Announcements</t>
  </si>
  <si>
    <t>Admin → Announcements list</t>
  </si>
  <si>
    <t>A live announcement marked “URGENT” is titled “test” with gibberish body text “ntng”, and is currently published/visible.</t>
  </si>
  <si>
    <t>A test announcement was created during QA and was never deleted or unpublished before the environment was treated as live.</t>
  </si>
  <si>
    <t>1. Log in as Admin (or Student/Trainer). 2. Go to Announcements.</t>
  </si>
  <si>
    <t>Only real, reviewed announcements should ever be in a published/URGENT state.</t>
  </si>
  <si>
    <t>A meaningless 'URGENT' test announcement is live and visible to end users (students/mentors).</t>
  </si>
  <si>
    <t>Delete or unpublish the test announcement immediately; add a review/approval step before an announcement can be marked URGENT and published.</t>
  </si>
  <si>
    <t>Announcements list showing an item titled 'test', tagged URGENT, body text 'ntng'.</t>
  </si>
  <si>
    <t>BUG-11</t>
  </si>
  <si>
    <t>Admin → Alumni</t>
  </si>
  <si>
    <t>Admin → Alumni &amp; Success Stories</t>
  </si>
  <si>
    <t>Data Quality / Content</t>
  </si>
  <si>
    <t>The public-facing “Alumni &amp; Success Stories” section, meant to showcase real placement outcomes, contains exactly one entry — a dummy record named “sid”, role “sap developer @ avsora” (lowercase, unformatted), marked as FEATURED. 'avsora' matches the same dummy company seen in BUG-07.</t>
  </si>
  <si>
    <t>Placeholder content created during setup was left in place and marked Featured, and the Add Alumni form has no input formatting/validation (e.g. name/role capitalization) to catch obviously malformed entries.</t>
  </si>
  <si>
    <t>1. Log in as Admin. 2. Go to Alumni. 3. Observe the single entry and its Featured badge.</t>
  </si>
  <si>
    <t>Section should showcase multiple real, verified alumni outcomes with properly formatted names/titles, or be hidden until real data exists.</t>
  </si>
  <si>
    <t>A single fake, badly-formatted, Featured entry is the only content in a section prospective students/leads may see as social proof.</t>
  </si>
  <si>
    <t>Replace with real alumni records or hide the section until populated; add basic input validation/formatting (proper-case name, real company lookup) to the Add Alumni form; add a review step before marking an entry Featured.</t>
  </si>
  <si>
    <t>Alumni page showing one card: 'sid FEATURED / sap developer @ avsora / sap • 2026 • ₹4 LPA', all lowercase.</t>
  </si>
  <si>
    <t>N/A — data/content issue, not a runtime error.</t>
  </si>
  <si>
    <t>BUG-12</t>
  </si>
  <si>
    <t>Admin → Mentors list → View button</t>
  </si>
  <si>
    <t>The “View” action button on mentor rows does nothing when clicked.</t>
  </si>
  <si>
    <t>Click handler for the View action is either unbound or its target route/modal was never implemented.</t>
  </si>
  <si>
    <t>1. Go to Admin → Mentors. 2. Click 'View' on any mentor row.</t>
  </si>
  <si>
    <t>Should open a mentor detail view/modal.</t>
  </si>
  <si>
    <t>No response at all — button appears dead.</t>
  </si>
  <si>
    <t>Implement the mentor detail view and bind it to the View button, or remove the button until the feature exists.</t>
  </si>
  <si>
    <t>Mentors row with Edit / View / Delete buttons; clicking View produces no visible change on screen.</t>
  </si>
  <si>
    <t>No console output observed; recommend checking for a missing onClick handler in dev tools.</t>
  </si>
  <si>
    <t>BUG-13</t>
  </si>
  <si>
    <t>Student / Admin → Placements</t>
  </si>
  <si>
    <t>Student → Placements; Admin → Placements</t>
  </si>
  <si>
    <t>Company name text is styled as a clickable link in both the Student and Admin Placements views but does nothing when clicked.</t>
  </si>
  <si>
    <t>Link styling was applied without an actual navigation target/handler being implemented.</t>
  </si>
  <si>
    <t>1. Go to Placements (Student or Admin). 2. Click any company name.</t>
  </si>
  <si>
    <t>Should navigate to a company detail page or open a company profile modal.</t>
  </si>
  <si>
    <t>Nothing happens; the link-styled text is non-functional in both roles.</t>
  </si>
  <si>
    <t>Either implement the company detail destination or remove the link styling so it doesn't visually promise an action that isn't there.</t>
  </si>
  <si>
    <t>Placements list/table with company names underlined/colored like links; click produces no navigation.</t>
  </si>
  <si>
    <t>No console output observed.</t>
  </si>
  <si>
    <t>BUG-14</t>
  </si>
  <si>
    <t>Student → Mock Interviews</t>
  </si>
  <si>
    <t>Student → Mock Interviews list</t>
  </si>
  <si>
    <t>Low</t>
  </si>
  <si>
    <t>Mock Interview rows look clickable (hover/cursor styling suggests interactivity) but clicking them does nothing.</t>
  </si>
  <si>
    <t>Visual affordance (cursor/hover state) was added without a matching click handler/route.</t>
  </si>
  <si>
    <t>1. Go to Student → Mock Interviews. 2. Click on any row.</t>
  </si>
  <si>
    <t>Row should open interview details or a booking/results view.</t>
  </si>
  <si>
    <t>Row does not respond to clicks despite looking interactive.</t>
  </si>
  <si>
    <t>Remove the misleading hover/cursor affordance until the detail view is built, or implement the missing detail view.</t>
  </si>
  <si>
    <t>Mock Interviews list with rows that visually highlight on hover but do not navigate on click.</t>
  </si>
  <si>
    <t>BUG-15</t>
  </si>
  <si>
    <t>Student → Placements</t>
  </si>
  <si>
    <t>Student → Placements → Apply Now</t>
  </si>
  <si>
    <t>Functional / Stability</t>
  </si>
  <si>
    <t>Clicking “Apply Now” on a placement drive does nothing visible, and on at least one occasion caused the entire browser tab to become unresponsive (scroll and screenshot actions timed out repeatedly) until the page was force-reloaded.</t>
  </si>
  <si>
    <t>Apply action likely triggers a request or client-side operation that either silently fails or enters an unrecoverable state (e.g. an unhandled promise, infinite loop, or memory issue) under certain conditions.</t>
  </si>
  <si>
    <t>1. Log in as Student. 2. Go to Placements. 3. Click 'Apply Now' on any drive. 4. Observe.</t>
  </si>
  <si>
    <t>Should submit the application and show a confirmation, or a clear error if something fails.</t>
  </si>
  <si>
    <t>No confirmation appears; in one reproduction the tab froze completely and required a full page reload/re-login to recover.</t>
  </si>
  <si>
    <t>Add error handling and a visible confirmation/failure state to the Apply flow; investigate and fix the freeze (check for unhandled exceptions/infinite loops via browser profiling); add a request timeout with user feedback.</t>
  </si>
  <si>
    <t>Placements screen, Apply Now button on a drive card; after click, no toast/confirmation appears and the tab stopped responding to further input in one test run.</t>
  </si>
  <si>
    <t>Renderer became unresponsive — repeated 'Script injection timed out' on scroll/screenshot actions until a hard navigate/reload recovered the session. No confirmation network response was observed to complete.</t>
  </si>
  <si>
    <t>BUG-16</t>
  </si>
  <si>
    <t>Admin → Placements</t>
  </si>
  <si>
    <t>Admin → Placements dashboard</t>
  </si>
  <si>
    <t>Data Consistency</t>
  </si>
  <si>
    <t>The stat card at the top of the page shows “Applied: 0” while the Hiring Funnel section directly below on the same page shows “Applied: 2” for the same drive/data set.</t>
  </si>
  <si>
    <t>The two widgets are likely pulling from different queries/aggregations (or different cache states) instead of a single shared source of truth.</t>
  </si>
  <si>
    <t>1. Go to Admin → Placements. 2. Compare the top stat card 'Applied' value against the Hiring Funnel 'Applied' value.</t>
  </si>
  <si>
    <t>Both numbers should always match since they describe the same metric on the same page.</t>
  </si>
  <si>
    <t>Stat card reads 0, Hiring Funnel reads 2, directly contradicting each other on one screen.</t>
  </si>
  <si>
    <t>Trace both widgets back to a single query/aggregation so they can't diverge; add an automated consistency check/test between dashboard widgets that display the same metric.</t>
  </si>
  <si>
    <t>Admin Placements page: 'Applied 0' stat card above, 'Hiring Funnel: Applied 2' funnel chart below, same page, same scroll position.</t>
  </si>
  <si>
    <t>N/A — data/consistency issue, not a runtime error.</t>
  </si>
  <si>
    <t>BUG-17</t>
  </si>
  <si>
    <t>Admin → Batches → batch card vs Manage modal</t>
  </si>
  <si>
    <t>A batch card shows “0/25 seats” filled, but opening the Manage modal for that same batch reveals 1 student is actually enrolled.</t>
  </si>
  <si>
    <t>Seat-count shown on the card is likely computed/cached separately from the actual enrollment list shown inside the Manage modal.</t>
  </si>
  <si>
    <t>1. Go to Admin → Batches. 2. Note the seats-filled count on a batch card. 3. Click Manage on that same batch and check the enrolled student list.</t>
  </si>
  <si>
    <t>The card's seat count should equal the number of students actually enrolled.</t>
  </si>
  <si>
    <t>Card says 0 enrolled, modal shows 1 actual enrolled student for the same batch.</t>
  </si>
  <si>
    <t>Compute the seat count from the same enrollment table the Manage modal reads from; add a test asserting card and modal counts match.</t>
  </si>
  <si>
    <t>Batch card reading '0/25 seats' next to a Manage modal for the same batch listing 1 named student.</t>
  </si>
  <si>
    <t>N/A — data/consistency issue.</t>
  </si>
  <si>
    <t>BUG-18</t>
  </si>
  <si>
    <t>Trainer → My Students</t>
  </si>
  <si>
    <t>Trainer → My Students table</t>
  </si>
  <si>
    <t>Functional / Data</t>
  </si>
  <si>
    <t>The Attendance column shows a blank dash ('—') for every single row in the Trainer's My Students table.</t>
  </si>
  <si>
    <t>Attendance data is either not being calculated/aggregated, or the field is not wired to a real data source in this view.</t>
  </si>
  <si>
    <t>1. Log in as Trainer/Mentor. 2. Go to My Students.</t>
  </si>
  <si>
    <t>Attendance column should show real attendance percentages/records per student.</t>
  </si>
  <si>
    <t>Every row shows '—' with no attendance data at all.</t>
  </si>
  <si>
    <t>Wire the Attendance column to the real attendance/session-tracking data, or hide the column until that data pipeline exists.</t>
  </si>
  <si>
    <t>My Students table with an 'Attendance' column populated entirely with '—' for every student row.</t>
  </si>
  <si>
    <t>BUG-19</t>
  </si>
  <si>
    <t>Trainer → My Students → Sneha Patel</t>
  </si>
  <si>
    <t>Student 'Sneha Patel' shows 63% course progress but a status of 'completed', which is logically inconsistent (completed should imply 100%, or 'completed' shouldn't be assigned before 100%).</t>
  </si>
  <si>
    <t>Status field is likely being set independently of the progress percentage rather than derived from it (e.g., manually toggled or set on a different trigger such as certificate issuance).</t>
  </si>
  <si>
    <t>1. Go to Trainer (or Admin) → My Students / Students. 2. Find Sneha Patel's row.</t>
  </si>
  <si>
    <t>Status should be derived from / consistent with progress percentage (e.g., 'completed' only at 100%, otherwise 'in-progress').</t>
  </si>
  <si>
    <t>Row shows 63% progress alongside a 'completed' status badge.</t>
  </si>
  <si>
    <t>Derive status from progress programmatically instead of storing it independently, or add validation preventing 'completed' from being set below 100% progress.</t>
  </si>
  <si>
    <t>My Students table row for Sneha Patel: Progress 63%, Status 'completed'.</t>
  </si>
  <si>
    <t>N/A — data/logic issue, not a runtime error.</t>
  </si>
  <si>
    <t>BUG-20</t>
  </si>
  <si>
    <t>Trainer → Assignments</t>
  </si>
  <si>
    <t>Trainer → Assignments → 'Test Asg' submission</t>
  </si>
  <si>
    <t>The submission link stored for an assignment named 'Test Asg' is https://web.whatsapp.com/ — clearly garbage/wrong test data, not an actual submission artifact.</t>
  </si>
  <si>
    <t>Test data entered during QA/dev was left in the submissions table and is now visible to trainers as if it were a real student submission.</t>
  </si>
  <si>
    <t>1. Log in as Trainer. 2. Go to Assignments → 'Test Asg' → view the submission link.</t>
  </si>
  <si>
    <t>Submission links should point to real student-submitted work (document/repo/etc.).</t>
  </si>
  <si>
    <t>Link field contains an unrelated WhatsApp Web URL.</t>
  </si>
  <si>
    <t>Purge test submissions; add basic URL/content validation on submission at the point of student upload so garbage links can't be saved in the first place.</t>
  </si>
  <si>
    <t>Assignment 'Test Asg' submission detail showing link value 'https://web.whatsapp.com/'.</t>
  </si>
  <si>
    <t>BUG-21</t>
  </si>
  <si>
    <t>Trainer → Assignments → grading a submission</t>
  </si>
  <si>
    <t>Validation</t>
  </si>
  <si>
    <t>The assignment score field accepted a value of 150 against a stated maximum of /100, with no client- or server-side range validation, and the invalid score saved successfully.</t>
  </si>
  <si>
    <t>Score input has no min/max constraint enforced in the UI or on the save API call.</t>
  </si>
  <si>
    <t>1. Go to Trainer → Assignments. 2. Open a submission to grade. 3. Enter 150 in the score field (max is 100). 4. Save.</t>
  </si>
  <si>
    <t>Should reject or clamp any score outside the valid 0–100 range with a validation message.</t>
  </si>
  <si>
    <t>150/100 is accepted and persists after save with no warning.</t>
  </si>
  <si>
    <t>Add min/max validation on both the input field and the save endpoint (defense in depth); surface a clear inline error for out-of-range scores.</t>
  </si>
  <si>
    <t>Grading modal for a submission with Score field showing '150' saved against a '/100' max label, no error shown.</t>
  </si>
  <si>
    <t>N/A — validation/logic issue, not a runtime error.</t>
  </si>
  <si>
    <t>BUG-22</t>
  </si>
  <si>
    <t>Student / Admin → Certificates</t>
  </si>
  <si>
    <t>Student → Certificates → Verify; Admin → Certificates → Verify</t>
  </si>
  <si>
    <t>The 'Verify Certificate' modal always shows 'Certificate Verified ✓' with a valid status, but the Holder, Course, and Issued fields all render as blank dashes ('—'), in both the Student and Admin views.</t>
  </si>
  <si>
    <t>Verify endpoint/response likely returns only a boolean valid/invalid flag without the associated holder/course/issued metadata, or the front end fails to map those fields from the response.</t>
  </si>
  <si>
    <t>1. Go to Certificates (Student or Admin). 2. Click Verify on any certificate.</t>
  </si>
  <si>
    <t>Modal should display the real Holder name, Course, and Issued date alongside the verified status.</t>
  </si>
  <si>
    <t>Status badge correctly says 'valid', but every detail field is blank, reproduced identically in both Student and Admin views.</t>
  </si>
  <si>
    <t>Fix the Verify API/response to include holder/course/issued date, and fix the modal's field mapping so it renders the returned data.</t>
  </si>
  <si>
    <t>'Certificate Verified ✓' modal with rows: Number (populated), Holder —, Course —, Status valid, Issued —.</t>
  </si>
  <si>
    <t>No console error observed; recommend inspecting the Verify network response payload for missing fields.</t>
  </si>
  <si>
    <t>BUG-23</t>
  </si>
  <si>
    <t>Admin → Mentors → 'babu B' → Assign Students</t>
  </si>
  <si>
    <t>Opening the 'Assign Students' modal for mentor 'babu B' shows the wrong modal title — 'Manage: test' instead of 'Manage: babu B'.</t>
  </si>
  <si>
    <t>Modal title is likely bound to stale state from a previously opened mentor ('test') rather than the mentor actually clicked.</t>
  </si>
  <si>
    <t>1. Go to Admin → Mentors. 2. Click Assign Students / Manage on mentor 'babu B'.</t>
  </si>
  <si>
    <t>Modal title should read 'Manage: babu B'.</t>
  </si>
  <si>
    <t>Modal title reads 'Manage: test', a different mentor's name.</t>
  </si>
  <si>
    <t>Fix the modal's state binding so the title (and all modal content) is keyed to the mentor actually clicked, not a leftover/cached selection.</t>
  </si>
  <si>
    <t>Assign Students modal open for the row 'babu B' but header text reads 'Manage: test'.</t>
  </si>
  <si>
    <t>No console error observed; recommend checking for stale component state / missing key prop on the mentor list.</t>
  </si>
  <si>
    <t>BUG-24</t>
  </si>
  <si>
    <t>Admin → Courses</t>
  </si>
  <si>
    <t>Admin → Courses → DevOps &amp; Cloud Engineering</t>
  </si>
  <si>
    <t>Content</t>
  </si>
  <si>
    <t>The 'DevOps &amp; Cloud Engineering' course, which is advertised as a flagship offering, has 0 actual modules of content.</t>
  </si>
  <si>
    <t>Course record/shell was created in the catalog but content authoring was never completed or linked.</t>
  </si>
  <si>
    <t>1. Go to Admin → Courses. 2. Open 'DevOps &amp; Cloud Engineering'. 3. Check module count.</t>
  </si>
  <si>
    <t>A course marketed to students should have real modules/content before being listed as available.</t>
  </si>
  <si>
    <t>Course exists in the catalog and can presumably be enrolled into, but contains zero modules.</t>
  </si>
  <si>
    <t>Either populate the course with real content before it's listed/marketed, or mark it 'Coming Soon' and hide it from enrollment until ready.</t>
  </si>
  <si>
    <t>Course detail page for 'DevOps &amp; Cloud Engineering' showing a module count/list of 0.</t>
  </si>
  <si>
    <t>N/A — content issue, not a runtime error.</t>
  </si>
  <si>
    <t>BUG-25</t>
  </si>
  <si>
    <t>Cross-Cutting</t>
  </si>
  <si>
    <t>Student → Assignment submission link field; Student → Profile → Resume Link</t>
  </si>
  <si>
    <t>URL-type fields (assignment submission link, resume link) accept any arbitrary text — e.g. 'not-a-valid-url', 'not-a-url-at-all' — with zero format validation, while other fields elsewhere (e.g. negative payment amounts, required fields) are correctly validated.</t>
  </si>
  <si>
    <t>URL fields were built without a format/regex validation rule, unlike numeric and required-field validation which is implemented correctly elsewhere in the app.</t>
  </si>
  <si>
    <t>1. Go to a URL-type field (Assignment submission link, or Profile → Resume Link). 2. Enter clearly invalid text like 'not-a-url-at-all'. 3. Save.</t>
  </si>
  <si>
    <t>Should reject non-URL text with an inline validation error.</t>
  </si>
  <si>
    <t>Invalid text is accepted and saved without any warning.</t>
  </si>
  <si>
    <t>Add URL-format validation (regex or URL constructor check) to every URL-type input across the platform, matching the validation rigor already applied to numeric/required fields.</t>
  </si>
  <si>
    <t>Assignment submission form and Profile edit form both accepting and saving clearly invalid text in URL fields with no error shown.</t>
  </si>
  <si>
    <t>N/A — validation gap, not a runtime error.</t>
  </si>
  <si>
    <t>BUG-26</t>
  </si>
  <si>
    <t>Admin → Office Hours</t>
  </si>
  <si>
    <t>Admin → Office Hours list</t>
  </si>
  <si>
    <t>Office Hours entries are displayed as a static list with no click-through detail view and no visible add/manage controls on this Admin screen, despite Office Hours being editable elsewhere (e.g. Trainer role).</t>
  </si>
  <si>
    <t>The Admin-facing Office Hours view was likely built as a read-only summary and never given the management actions (add/edit/cancel) an admin would reasonably expect on this screen.</t>
  </si>
  <si>
    <t>1. Log in as Admin. 2. Go to Office Hours. 3. Try clicking the listed session; look for any add/manage buttons.</t>
  </si>
  <si>
    <t>Admin should be able to view full detail and/or manage (add, edit, cancel) office-hours sessions from this screen, or the screen should clearly state it is a read-only summary.</t>
  </si>
  <si>
    <t>Row is not clickable and no add/manage controls are present on the page at all.</t>
  </si>
  <si>
    <t>Decide the intended scope for this Admin screen: either add the missing detail/manage actions, or add a clear 'read-only overview' label so it isn't mistaken for a broken page.</t>
  </si>
  <si>
    <t>Admin Office Hours page showing a single 'Doubt clearing' entry with no interactive affordances beyond the static status badge.</t>
  </si>
  <si>
    <t>No console error observed.</t>
  </si>
  <si>
    <t>BUG-27</t>
  </si>
  <si>
    <t>Trainer</t>
  </si>
  <si>
    <t>Trainer → sidebar (My Students, Assignments)</t>
  </si>
  <si>
    <t>N/A — Correction</t>
  </si>
  <si>
    <t>N/A</t>
  </si>
  <si>
    <t>CORRECTION TO EARLIER FINDING: An earlier pass of this audit incorrectly reported the Trainer/Mentor dashboard as missing dedicated Student Management and Assignment Management modules. On re-verification with full sidebar scrolling, both 'My Students' and 'Assignments' exist under the Trainer role and are fully functional (Create/Edit/Delete, View Submissions, grading).</t>
  </si>
  <si>
    <t>The original miss was tester error — incomplete scrolling of the Trainer sidebar during the first audit pass, not a product defect.</t>
  </si>
  <si>
    <t>N/A — feature exists and works as expected.</t>
  </si>
  <si>
    <t>No action needed. This row exists only to formally retract the earlier 'Critical: Trainer missing Student/Assignment Management' finding from the original Bug Tracker (previously logged as BUG-14) and prevent it from being carried forward.</t>
  </si>
  <si>
    <t>Trainer sidebar, scrolled fully, showing 'My Students' and 'Assignments' as working nav items with full CRUD.</t>
  </si>
  <si>
    <t>Closed — Not a Bug</t>
  </si>
  <si>
    <t>Bug Summary Dashboard</t>
  </si>
  <si>
    <t>Auto-calculated from the Bug Tracker sheet. Update automatically if new rows are added within the tracker's used range.</t>
  </si>
  <si>
    <t>By Severity</t>
  </si>
  <si>
    <t>By Role / Module</t>
  </si>
  <si>
    <t>Count</t>
  </si>
  <si>
    <t>Total Open Defects</t>
  </si>
  <si>
    <t>By Bug Type</t>
  </si>
  <si>
    <t>Recurring Root-Cause Categories</t>
  </si>
  <si>
    <t>Grouping the individual bugs by underlying cause makes triage and prevention faster — several defects share one fix.</t>
  </si>
  <si>
    <t>Category</t>
  </si>
  <si>
    <t>Pattern</t>
  </si>
  <si>
    <t>Related Bug IDs</t>
  </si>
  <si>
    <t>Unclean test/dummy data in production</t>
  </si>
  <si>
    <t>QA/dev-created test records (mentors, batches, companies, leads, students, announcements, alumni) were never purged before the environment was reviewed as production-ready.</t>
  </si>
  <si>
    <t>BUG-05, 06, 07, 08, 09, 10, 11, 20</t>
  </si>
  <si>
    <t>Weak default credentials</t>
  </si>
  <si>
    <t>Account-creation forms hardcode a shared default password and encourage keeping it, instead of generating unique random passwords.</t>
  </si>
  <si>
    <t>Missing input validation</t>
  </si>
  <si>
    <t>Numeric and URL fields lack range/format validation on client and/or server.</t>
  </si>
  <si>
    <t>BUG-21, BUG-25</t>
  </si>
  <si>
    <t>Disconnected data sources / stale state</t>
  </si>
  <si>
    <t>Two UI elements that should show the same number/value pull from different queries or cached state, so they silently disagree.</t>
  </si>
  <si>
    <t>BUG-16, BUG-17, BUG-19, BUG-23</t>
  </si>
  <si>
    <t>Missing loading/error states</t>
  </si>
  <si>
    <t>Async operations (video load, modal open) have no loading or error UI, so slow or failed states look identical to a broken button.</t>
  </si>
  <si>
    <t>BUG-03, BUG-04</t>
  </si>
  <si>
    <t>Incomplete feature wiring</t>
  </si>
  <si>
    <t>UI affordances (links, hover states, buttons) exist visually but were never connected to a real handler or destination.</t>
  </si>
  <si>
    <t>BUG-12, 13, 14, 26</t>
  </si>
  <si>
    <t>Content/catalog incompleteness</t>
  </si>
  <si>
    <t>Marketed content (course modules, alumni stories) exists as a shell record with no real content behind it.</t>
  </si>
  <si>
    <t>BUG-11, BUG-24</t>
  </si>
  <si>
    <t>Auth flow hardening gap</t>
  </si>
  <si>
    <t>Password reset flow lacks sufficiently strong identity verification.</t>
  </si>
  <si>
    <t>Tester process correction</t>
  </si>
  <si>
    <t>One earlier finding was a testing miss (incomplete scroll), not a product bug — retracted here for the record.</t>
  </si>
  <si>
    <t>1. Bug Tracker — one row per defect. BUG is the unique ID referenced elsewhere in the audit deliverables.</t>
  </si>
  <si>
    <t>Exhaustive QA Pass — Student, Trainer/Mentor &amp; Admin Dashboards By Mohan Karthikeya Junnuri</t>
  </si>
  <si>
    <t>NA</t>
  </si>
  <si>
    <t>the original miss was tester error -- incomplete scrolling of the trainer sidebar during the first audit pass , not a prodcut defect.</t>
  </si>
  <si>
    <t xml:space="preserve">No action needed, this is actually an formal mistake in the fronjted whoch has made an error missing finding the student assignment , from the original BUG , [with more being carried forward]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</si>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</sst>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b/>
      <sz val="20"/>
      <color rgb="FF4F46E5"/>
      <name val="Arial"/>
      <charset val="1"/>
    </font>
    <font>
      <i/>
      <sz val="12"/>
      <color rgb="FF1F2937"/>
      <name val="Arial"/>
      <charset val="1"/>
    </font>
    <font>
      <sz val="11"/>
      <color rgb="FF1F2937"/>
      <name val="Arial"/>
      <charset val="1"/>
    </font>
    <font>
      <b/>
      <sz val="13"/>
      <color rgb="FF4F46E5"/>
      <name val="Arial"/>
      <charset val="1"/>
    </font>
    <font>
      <sz val="10.5"/>
      <color rgb="FF1F2937"/>
      <name val="Arial"/>
      <charset val="1"/>
    </font>
    <font>
      <b/>
      <sz val="12"/>
      <color rgb="FF4F46E5"/>
      <name val="Arial"/>
      <charset val="1"/>
    </font>
    <font>
      <sz val="10.5"/>
      <color rgb="FF9C0006"/>
      <name val="Arial"/>
      <charset val="1"/>
    </font>
    <font>
      <sz val="10.5"/>
      <color rgb="FF9C5700"/>
      <name val="Arial"/>
      <charset val="1"/>
    </font>
    <font>
      <sz val="10.5"/>
      <color rgb="FF9C7A00"/>
      <name val="Arial"/>
      <charset val="1"/>
    </font>
    <font>
      <sz val="10.5"/>
      <color rgb="FF2E5C1E"/>
      <name val="Arial"/>
      <charset val="1"/>
    </font>
    <font>
      <b/>
      <sz val="11"/>
      <color rgb="FFFFFFFF"/>
      <name val="Arial"/>
      <charset val="1"/>
    </font>
    <font>
      <sz val="9.5"/>
      <color rgb="FF1F2937"/>
      <name val="Arial"/>
      <charset val="1"/>
    </font>
    <font>
      <b/>
      <sz val="9.5"/>
      <color rgb="FF9C0006"/>
      <name val="Arial"/>
      <charset val="1"/>
    </font>
    <font>
      <b/>
      <sz val="9.5"/>
      <color rgb="FF9C7A00"/>
      <name val="Arial"/>
      <charset val="1"/>
    </font>
    <font>
      <b/>
      <sz val="9.5"/>
      <color rgb="FF9C5700"/>
      <name val="Arial"/>
      <charset val="1"/>
    </font>
    <font>
      <b/>
      <sz val="9.5"/>
      <color rgb="FF2E5C1E"/>
      <name val="Arial"/>
      <charset val="1"/>
    </font>
    <font>
      <b/>
      <sz val="9.5"/>
      <color rgb="FF1F2937"/>
      <name val="Arial"/>
      <charset val="1"/>
    </font>
    <font>
      <b/>
      <sz val="16"/>
      <color rgb="FF4F46E5"/>
      <name val="Arial"/>
      <charset val="1"/>
    </font>
    <font>
      <i/>
      <sz val="10"/>
      <color rgb="FF1F2937"/>
      <name val="Arial"/>
      <charset val="1"/>
    </font>
    <font>
      <b/>
      <sz val="11"/>
      <color rgb="FF9C0006"/>
      <name val="Arial"/>
      <charset val="1"/>
    </font>
    <font>
      <sz val="11"/>
      <name val="Arial"/>
      <charset val="1"/>
    </font>
    <font>
      <sz val="9"/>
      <name val="Arial"/>
      <charset val="1"/>
    </font>
    <font>
      <b/>
      <sz val="11"/>
      <color rgb="FF9C5700"/>
      <name val="Arial"/>
      <charset val="1"/>
    </font>
    <font>
      <b/>
      <sz val="11"/>
      <color rgb="FF9C7A00"/>
      <name val="Arial"/>
      <charset val="1"/>
    </font>
    <font>
      <b/>
      <sz val="11"/>
      <color rgb="FF2E5C1E"/>
      <name val="Arial"/>
      <charset val="1"/>
    </font>
    <font>
      <b/>
      <sz val="11"/>
      <name val="Arial"/>
      <charset val="1"/>
    </font>
    <font>
      <b/>
      <sz val="10"/>
      <name val="Arial"/>
      <charset val="1"/>
    </font>
    <font>
      <sz val="9.5"/>
      <name val="Arial"/>
      <charset val="1"/>
    </font>
    <font>
      <b/>
      <sz val="12"/>
      <color theme="1"/>
      <name val="Calibri"/>
      <family val="2"/>
    </font>
  </fonts>
  <fills count="21">
    <fill>
      <patternFill patternType="none"/>
    </fill>
    <fill>
      <patternFill patternType="gray125"/>
    </fill>
    <fill>
      <patternFill patternType="solid">
        <fgColor rgb="FFFFC7CE"/>
        <bgColor rgb="FFFFE0B2"/>
      </patternFill>
    </fill>
    <fill>
      <patternFill patternType="solid">
        <fgColor rgb="FFFFE0B2"/>
        <bgColor rgb="FFFFF2CC"/>
      </patternFill>
    </fill>
    <fill>
      <patternFill patternType="solid">
        <fgColor rgb="FFFFF2CC"/>
        <bgColor rgb="FFFFE0B2"/>
      </patternFill>
    </fill>
    <fill>
      <patternFill patternType="solid">
        <fgColor rgb="FFC6E0B4"/>
        <bgColor rgb="FFD1D5DB"/>
      </patternFill>
    </fill>
    <fill>
      <patternFill patternType="solid">
        <fgColor rgb="FF4F46E5"/>
        <bgColor rgb="FF333399"/>
      </patternFill>
    </fill>
    <fill>
      <patternFill patternType="solid">
        <fgColor rgb="FFFFFFFF"/>
        <bgColor rgb="FFFFF2CC"/>
      </patternFill>
    </fill>
    <fill>
      <patternFill patternType="solid">
        <fgColor theme="0" tint="-0.249977111117893"/>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4.9989318521683403E-2"/>
        <bgColor rgb="FF333399"/>
      </patternFill>
    </fill>
    <fill>
      <patternFill patternType="solid">
        <fgColor theme="1" tint="0.34998626667073579"/>
        <bgColor rgb="FF333399"/>
      </patternFill>
    </fill>
    <fill>
      <patternFill patternType="solid">
        <fgColor theme="9"/>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1" tint="4.9989318521683403E-2"/>
        <bgColor rgb="FF333399"/>
      </patternFill>
    </fill>
    <fill>
      <patternFill patternType="solid">
        <fgColor theme="7" tint="0.79998168889431442"/>
        <bgColor indexed="64"/>
      </patternFill>
    </fill>
    <fill>
      <patternFill patternType="solid">
        <fgColor theme="7" tint="0.39997558519241921"/>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wrapText="1"/>
    </xf>
    <xf numFmtId="0" fontId="6" fillId="0" borderId="0" xfId="0" applyFont="1"/>
    <xf numFmtId="0" fontId="7" fillId="2" borderId="0" xfId="0" applyFont="1" applyFill="1"/>
    <xf numFmtId="0" fontId="8" fillId="3" borderId="0" xfId="0" applyFont="1" applyFill="1"/>
    <xf numFmtId="0" fontId="9" fillId="4" borderId="0" xfId="0" applyFont="1" applyFill="1"/>
    <xf numFmtId="0" fontId="10" fillId="5" borderId="0" xfId="0" applyFont="1" applyFill="1"/>
    <xf numFmtId="0" fontId="11" fillId="6" borderId="1" xfId="0" applyFont="1" applyFill="1" applyBorder="1" applyAlignment="1">
      <alignment horizontal="center" vertical="center" wrapText="1"/>
    </xf>
    <xf numFmtId="0" fontId="12" fillId="2" borderId="1" xfId="0" applyFont="1" applyFill="1" applyBorder="1" applyAlignment="1">
      <alignment vertical="top" wrapText="1"/>
    </xf>
    <xf numFmtId="0" fontId="13" fillId="2" borderId="1" xfId="0" applyFont="1" applyFill="1" applyBorder="1" applyAlignment="1">
      <alignment vertical="top" wrapText="1"/>
    </xf>
    <xf numFmtId="0" fontId="12" fillId="4" borderId="1" xfId="0" applyFont="1" applyFill="1" applyBorder="1" applyAlignment="1">
      <alignment vertical="top" wrapText="1"/>
    </xf>
    <xf numFmtId="0" fontId="14" fillId="4" borderId="1" xfId="0" applyFont="1" applyFill="1" applyBorder="1" applyAlignment="1">
      <alignment vertical="top" wrapText="1"/>
    </xf>
    <xf numFmtId="0" fontId="12" fillId="3" borderId="1" xfId="0" applyFont="1" applyFill="1" applyBorder="1" applyAlignment="1">
      <alignment vertical="top" wrapText="1"/>
    </xf>
    <xf numFmtId="0" fontId="15" fillId="3" borderId="1" xfId="0" applyFont="1" applyFill="1" applyBorder="1" applyAlignment="1">
      <alignment vertical="top" wrapText="1"/>
    </xf>
    <xf numFmtId="0" fontId="12" fillId="5" borderId="1" xfId="0" applyFont="1" applyFill="1" applyBorder="1" applyAlignment="1">
      <alignment vertical="top" wrapText="1"/>
    </xf>
    <xf numFmtId="0" fontId="16" fillId="5" borderId="1" xfId="0" applyFont="1" applyFill="1" applyBorder="1" applyAlignment="1">
      <alignment vertical="top" wrapText="1"/>
    </xf>
    <xf numFmtId="0" fontId="12" fillId="7" borderId="1" xfId="0" applyFont="1" applyFill="1" applyBorder="1" applyAlignment="1">
      <alignment vertical="top" wrapText="1"/>
    </xf>
    <xf numFmtId="0" fontId="17" fillId="7" borderId="1" xfId="0" applyFont="1" applyFill="1" applyBorder="1" applyAlignment="1">
      <alignment vertical="top" wrapText="1"/>
    </xf>
    <xf numFmtId="0" fontId="18" fillId="0" borderId="0" xfId="0" applyFont="1"/>
    <xf numFmtId="0" fontId="19" fillId="0" borderId="0" xfId="0" applyFont="1"/>
    <xf numFmtId="0" fontId="11" fillId="6" borderId="0" xfId="0" applyFont="1" applyFill="1" applyAlignment="1">
      <alignment horizontal="center"/>
    </xf>
    <xf numFmtId="0" fontId="20" fillId="2" borderId="0" xfId="0" applyFont="1" applyFill="1"/>
    <xf numFmtId="0" fontId="23" fillId="3" borderId="0" xfId="0" applyFont="1" applyFill="1"/>
    <xf numFmtId="0" fontId="24" fillId="4" borderId="0" xfId="0" applyFont="1" applyFill="1"/>
    <xf numFmtId="0" fontId="25" fillId="5" borderId="0" xfId="0" applyFont="1" applyFill="1"/>
    <xf numFmtId="0" fontId="27" fillId="0" borderId="1" xfId="0" applyFont="1" applyBorder="1" applyAlignment="1">
      <alignment vertical="top" wrapText="1"/>
    </xf>
    <xf numFmtId="0" fontId="28" fillId="0" borderId="1" xfId="0" applyFont="1" applyBorder="1" applyAlignment="1">
      <alignment vertical="top" wrapText="1"/>
    </xf>
    <xf numFmtId="0" fontId="22" fillId="8" borderId="0" xfId="0" applyFont="1" applyFill="1"/>
    <xf numFmtId="0" fontId="0" fillId="9" borderId="0" xfId="0" applyFill="1"/>
    <xf numFmtId="0" fontId="26" fillId="10" borderId="0" xfId="0" applyFont="1" applyFill="1"/>
    <xf numFmtId="0" fontId="11" fillId="12" borderId="1" xfId="0" applyFont="1" applyFill="1" applyBorder="1" applyAlignment="1">
      <alignment horizontal="center" vertical="center" wrapText="1"/>
    </xf>
    <xf numFmtId="0" fontId="29" fillId="11" borderId="0" xfId="0" applyFont="1" applyFill="1"/>
    <xf numFmtId="0" fontId="21" fillId="10" borderId="0" xfId="0" applyFont="1" applyFill="1"/>
    <xf numFmtId="0" fontId="0" fillId="10" borderId="0" xfId="0" applyFill="1" applyAlignment="1">
      <alignment horizontal="center"/>
    </xf>
    <xf numFmtId="0" fontId="11" fillId="13" borderId="1" xfId="0" applyFont="1" applyFill="1" applyBorder="1" applyAlignment="1">
      <alignment horizontal="center" vertical="center" wrapText="1"/>
    </xf>
    <xf numFmtId="0" fontId="21" fillId="14" borderId="0" xfId="0" applyFont="1" applyFill="1" applyAlignment="1">
      <alignment horizontal="center"/>
    </xf>
    <xf numFmtId="0" fontId="21" fillId="15" borderId="0" xfId="0" applyFont="1" applyFill="1" applyAlignment="1">
      <alignment horizontal="center"/>
    </xf>
    <xf numFmtId="0" fontId="21" fillId="16" borderId="0" xfId="0" applyFont="1" applyFill="1" applyAlignment="1">
      <alignment horizontal="center"/>
    </xf>
    <xf numFmtId="0" fontId="21" fillId="17" borderId="0" xfId="0" applyFont="1" applyFill="1" applyAlignment="1">
      <alignment horizontal="center"/>
    </xf>
    <xf numFmtId="0" fontId="0" fillId="11" borderId="0" xfId="0" applyFill="1" applyAlignment="1">
      <alignment horizontal="center"/>
    </xf>
    <xf numFmtId="0" fontId="11" fillId="18" borderId="0" xfId="0" applyFont="1" applyFill="1" applyAlignment="1">
      <alignment horizontal="center"/>
    </xf>
    <xf numFmtId="0" fontId="6" fillId="19" borderId="0" xfId="0" applyFont="1" applyFill="1"/>
    <xf numFmtId="0" fontId="0" fillId="20"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7A00"/>
      <rgbColor rgb="FF800080"/>
      <rgbColor rgb="FF008080"/>
      <rgbColor rgb="FFC6E0B4"/>
      <rgbColor rgb="FF808080"/>
      <rgbColor rgb="FF9999FF"/>
      <rgbColor rgb="FF993366"/>
      <rgbColor rgb="FFFFF2C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FE0B2"/>
      <rgbColor rgb="FF4F46E5"/>
      <rgbColor rgb="FF33CCCC"/>
      <rgbColor rgb="FF99CC00"/>
      <rgbColor rgb="FFFFCC00"/>
      <rgbColor rgb="FFFF9900"/>
      <rgbColor rgb="FFFF6600"/>
      <rgbColor rgb="FF666699"/>
      <rgbColor rgb="FF969696"/>
      <rgbColor rgb="FF003366"/>
      <rgbColor rgb="FF339966"/>
      <rgbColor rgb="FF003300"/>
      <rgbColor rgb="FF2E5C1E"/>
      <rgbColor rgb="FF9C5700"/>
      <rgbColor rgb="FF993366"/>
      <rgbColor rgb="FF333399"/>
      <rgbColor rgb="FF1F2937"/>
      <rgbColor rgb="00003366"/>
      <rgbColor rgb="00339966"/>
      <rgbColor rgb="00003300"/>
      <rgbColor rgb="00333300"/>
      <rgbColor rgb="00993300"/>
      <rgbColor rgb="00993366"/>
      <rgbColor rgb="00333399"/>
      <rgbColor rgb="00333333"/>
    </indexedColors>
    <mruColors>
      <color rgb="FFF3E6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1"/>
  <sheetViews>
    <sheetView showGridLines="0" tabSelected="1" zoomScaleNormal="100" workbookViewId="0">
      <selection activeCell="F5" sqref="F5"/>
    </sheetView>
  </sheetViews>
  <sheetFormatPr defaultColWidth="8.6328125" defaultRowHeight="14.5" x14ac:dyDescent="0.35"/>
  <cols>
    <col min="1" max="1" width="4" customWidth="1"/>
    <col min="2" max="2" width="110" customWidth="1"/>
  </cols>
  <sheetData>
    <row r="2" spans="2:6" ht="25" x14ac:dyDescent="0.5">
      <c r="B2" s="1" t="s">
        <v>0</v>
      </c>
    </row>
    <row r="3" spans="2:6" ht="15.5" x14ac:dyDescent="0.35">
      <c r="B3" s="2" t="s">
        <v>356</v>
      </c>
    </row>
    <row r="5" spans="2:6" x14ac:dyDescent="0.35">
      <c r="B5" s="3" t="s">
        <v>1</v>
      </c>
      <c r="F5" t="s">
        <v>360</v>
      </c>
    </row>
    <row r="6" spans="2:6" x14ac:dyDescent="0.35">
      <c r="B6" s="3" t="s">
        <v>2</v>
      </c>
    </row>
    <row r="7" spans="2:6" x14ac:dyDescent="0.35">
      <c r="B7" s="3" t="s">
        <v>3</v>
      </c>
    </row>
    <row r="9" spans="2:6" ht="16.5" x14ac:dyDescent="0.35">
      <c r="B9" s="4" t="s">
        <v>4</v>
      </c>
    </row>
    <row r="10" spans="2:6" ht="30" customHeight="1" x14ac:dyDescent="0.35">
      <c r="B10" s="5" t="s">
        <v>355</v>
      </c>
    </row>
    <row r="11" spans="2:6" ht="30" customHeight="1" x14ac:dyDescent="0.35">
      <c r="B11" s="5" t="s">
        <v>5</v>
      </c>
    </row>
    <row r="12" spans="2:6" ht="30" customHeight="1" x14ac:dyDescent="0.35">
      <c r="B12" s="5" t="s">
        <v>6</v>
      </c>
    </row>
    <row r="13" spans="2:6" ht="30" customHeight="1" x14ac:dyDescent="0.35">
      <c r="B13" s="5" t="s">
        <v>7</v>
      </c>
    </row>
    <row r="14" spans="2:6" ht="30" customHeight="1" x14ac:dyDescent="0.35">
      <c r="B14" s="5" t="s">
        <v>8</v>
      </c>
    </row>
    <row r="15" spans="2:6" ht="30" customHeight="1" x14ac:dyDescent="0.35">
      <c r="B15" s="5" t="s">
        <v>9</v>
      </c>
    </row>
    <row r="17" spans="2:2" ht="15.5" x14ac:dyDescent="0.35">
      <c r="B17" s="6" t="s">
        <v>10</v>
      </c>
    </row>
    <row r="18" spans="2:2" x14ac:dyDescent="0.35">
      <c r="B18" s="7" t="s">
        <v>11</v>
      </c>
    </row>
    <row r="19" spans="2:2" x14ac:dyDescent="0.35">
      <c r="B19" s="8" t="s">
        <v>12</v>
      </c>
    </row>
    <row r="20" spans="2:2" x14ac:dyDescent="0.35">
      <c r="B20" s="9" t="s">
        <v>13</v>
      </c>
    </row>
    <row r="21" spans="2:2" x14ac:dyDescent="0.35">
      <c r="B21" s="10"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8"/>
  <sheetViews>
    <sheetView zoomScale="85" zoomScaleNormal="85" workbookViewId="0">
      <pane ySplit="1" topLeftCell="A26" activePane="bottomLeft" state="frozen"/>
      <selection pane="bottomLeft" activeCell="J28" sqref="J28"/>
    </sheetView>
  </sheetViews>
  <sheetFormatPr defaultColWidth="8.6328125" defaultRowHeight="14.5" x14ac:dyDescent="0.35"/>
  <cols>
    <col min="1" max="1" width="10" customWidth="1"/>
    <col min="2" max="2" width="16" customWidth="1"/>
    <col min="3" max="3" width="22" customWidth="1"/>
    <col min="4" max="4" width="16" customWidth="1"/>
    <col min="5" max="5" width="11" customWidth="1"/>
    <col min="6" max="8" width="30" customWidth="1"/>
    <col min="9" max="9" width="22" customWidth="1"/>
    <col min="10" max="10" width="26" customWidth="1"/>
    <col min="11" max="11" width="32" customWidth="1"/>
    <col min="12" max="12" width="34" customWidth="1"/>
    <col min="13" max="13" width="30" customWidth="1"/>
    <col min="14" max="14" width="12" customWidth="1"/>
  </cols>
  <sheetData>
    <row r="1" spans="1:14" ht="33.75" customHeight="1" x14ac:dyDescent="0.35">
      <c r="A1" s="11" t="s">
        <v>15</v>
      </c>
      <c r="B1" s="11" t="s">
        <v>16</v>
      </c>
      <c r="C1" s="11" t="s">
        <v>17</v>
      </c>
      <c r="D1" s="11" t="s">
        <v>18</v>
      </c>
      <c r="E1" s="11" t="s">
        <v>19</v>
      </c>
      <c r="F1" s="11" t="s">
        <v>20</v>
      </c>
      <c r="G1" s="11" t="s">
        <v>21</v>
      </c>
      <c r="H1" s="11" t="s">
        <v>22</v>
      </c>
      <c r="I1" s="11" t="s">
        <v>23</v>
      </c>
      <c r="J1" s="11" t="s">
        <v>24</v>
      </c>
      <c r="K1" s="11" t="s">
        <v>25</v>
      </c>
      <c r="L1" s="11" t="s">
        <v>26</v>
      </c>
      <c r="M1" s="11" t="s">
        <v>27</v>
      </c>
      <c r="N1" s="11" t="s">
        <v>28</v>
      </c>
    </row>
    <row r="2" spans="1:14" ht="90" customHeight="1" x14ac:dyDescent="0.35">
      <c r="A2" s="12" t="s">
        <v>357</v>
      </c>
      <c r="B2" s="12" t="s">
        <v>357</v>
      </c>
      <c r="C2" s="12" t="s">
        <v>357</v>
      </c>
      <c r="D2" s="12" t="s">
        <v>357</v>
      </c>
      <c r="E2" s="13" t="s">
        <v>357</v>
      </c>
      <c r="F2" s="12" t="s">
        <v>357</v>
      </c>
      <c r="G2" s="12" t="s">
        <v>357</v>
      </c>
      <c r="H2" s="12" t="s">
        <v>357</v>
      </c>
      <c r="I2" s="12" t="s">
        <v>357</v>
      </c>
      <c r="J2" s="12" t="s">
        <v>357</v>
      </c>
      <c r="K2" s="12" t="s">
        <v>357</v>
      </c>
      <c r="L2" s="12" t="s">
        <v>357</v>
      </c>
      <c r="M2" s="12" t="s">
        <v>357</v>
      </c>
      <c r="N2" s="12" t="s">
        <v>357</v>
      </c>
    </row>
    <row r="3" spans="1:14" ht="90" customHeight="1" x14ac:dyDescent="0.35">
      <c r="A3" s="12" t="s">
        <v>34</v>
      </c>
      <c r="B3" s="12" t="s">
        <v>35</v>
      </c>
      <c r="C3" s="12" t="s">
        <v>36</v>
      </c>
      <c r="D3" s="12" t="s">
        <v>31</v>
      </c>
      <c r="E3" s="13" t="s">
        <v>32</v>
      </c>
      <c r="F3" s="12" t="s">
        <v>37</v>
      </c>
      <c r="G3" s="12" t="s">
        <v>38</v>
      </c>
      <c r="H3" s="12" t="s">
        <v>39</v>
      </c>
      <c r="I3" s="12" t="s">
        <v>40</v>
      </c>
      <c r="J3" s="12" t="s">
        <v>41</v>
      </c>
      <c r="K3" s="12" t="s">
        <v>42</v>
      </c>
      <c r="L3" s="12" t="s">
        <v>43</v>
      </c>
      <c r="M3" s="12" t="s">
        <v>44</v>
      </c>
      <c r="N3" s="12" t="s">
        <v>33</v>
      </c>
    </row>
    <row r="4" spans="1:14" ht="90" customHeight="1" x14ac:dyDescent="0.35">
      <c r="A4" s="12" t="s">
        <v>45</v>
      </c>
      <c r="B4" s="12" t="s">
        <v>46</v>
      </c>
      <c r="C4" s="12" t="s">
        <v>47</v>
      </c>
      <c r="D4" s="12" t="s">
        <v>48</v>
      </c>
      <c r="E4" s="13" t="s">
        <v>32</v>
      </c>
      <c r="F4" s="12" t="s">
        <v>49</v>
      </c>
      <c r="G4" s="12" t="s">
        <v>50</v>
      </c>
      <c r="H4" s="12" t="s">
        <v>51</v>
      </c>
      <c r="I4" s="12" t="s">
        <v>52</v>
      </c>
      <c r="J4" s="12" t="s">
        <v>53</v>
      </c>
      <c r="K4" s="12" t="s">
        <v>54</v>
      </c>
      <c r="L4" s="12" t="s">
        <v>55</v>
      </c>
      <c r="M4" s="12" t="s">
        <v>56</v>
      </c>
      <c r="N4" s="12" t="s">
        <v>33</v>
      </c>
    </row>
    <row r="5" spans="1:14" ht="90" customHeight="1" x14ac:dyDescent="0.35">
      <c r="A5" s="14" t="s">
        <v>57</v>
      </c>
      <c r="B5" s="14" t="s">
        <v>58</v>
      </c>
      <c r="C5" s="14" t="s">
        <v>59</v>
      </c>
      <c r="D5" s="14" t="s">
        <v>60</v>
      </c>
      <c r="E5" s="15" t="s">
        <v>61</v>
      </c>
      <c r="F5" s="14" t="s">
        <v>62</v>
      </c>
      <c r="G5" s="14" t="s">
        <v>63</v>
      </c>
      <c r="H5" s="14" t="s">
        <v>64</v>
      </c>
      <c r="I5" s="14" t="s">
        <v>65</v>
      </c>
      <c r="J5" s="14" t="s">
        <v>66</v>
      </c>
      <c r="K5" s="14" t="s">
        <v>67</v>
      </c>
      <c r="L5" s="14" t="s">
        <v>68</v>
      </c>
      <c r="M5" s="14" t="s">
        <v>69</v>
      </c>
      <c r="N5" s="14" t="s">
        <v>33</v>
      </c>
    </row>
    <row r="6" spans="1:14" ht="90" customHeight="1" x14ac:dyDescent="0.35">
      <c r="A6" s="14" t="s">
        <v>70</v>
      </c>
      <c r="B6" s="14" t="s">
        <v>71</v>
      </c>
      <c r="C6" s="14" t="s">
        <v>72</v>
      </c>
      <c r="D6" s="14" t="s">
        <v>73</v>
      </c>
      <c r="E6" s="15" t="s">
        <v>61</v>
      </c>
      <c r="F6" s="14" t="s">
        <v>74</v>
      </c>
      <c r="G6" s="14" t="s">
        <v>75</v>
      </c>
      <c r="H6" s="14" t="s">
        <v>76</v>
      </c>
      <c r="I6" s="14" t="s">
        <v>77</v>
      </c>
      <c r="J6" s="14" t="s">
        <v>78</v>
      </c>
      <c r="K6" s="14" t="s">
        <v>79</v>
      </c>
      <c r="L6" s="14" t="s">
        <v>80</v>
      </c>
      <c r="M6" s="14" t="s">
        <v>81</v>
      </c>
      <c r="N6" s="14" t="s">
        <v>33</v>
      </c>
    </row>
    <row r="7" spans="1:14" ht="90" customHeight="1" x14ac:dyDescent="0.35">
      <c r="A7" s="14" t="s">
        <v>82</v>
      </c>
      <c r="B7" s="14" t="s">
        <v>83</v>
      </c>
      <c r="C7" s="14" t="s">
        <v>84</v>
      </c>
      <c r="D7" s="14" t="s">
        <v>73</v>
      </c>
      <c r="E7" s="15" t="s">
        <v>61</v>
      </c>
      <c r="F7" s="14" t="s">
        <v>85</v>
      </c>
      <c r="G7" s="14" t="s">
        <v>86</v>
      </c>
      <c r="H7" s="14" t="s">
        <v>87</v>
      </c>
      <c r="I7" s="14" t="s">
        <v>88</v>
      </c>
      <c r="J7" s="14" t="s">
        <v>89</v>
      </c>
      <c r="K7" s="14" t="s">
        <v>90</v>
      </c>
      <c r="L7" s="14" t="s">
        <v>91</v>
      </c>
      <c r="M7" s="14" t="s">
        <v>81</v>
      </c>
      <c r="N7" s="14" t="s">
        <v>33</v>
      </c>
    </row>
    <row r="8" spans="1:14" ht="90" customHeight="1" x14ac:dyDescent="0.35">
      <c r="A8" s="16" t="s">
        <v>92</v>
      </c>
      <c r="B8" s="16" t="s">
        <v>93</v>
      </c>
      <c r="C8" s="16" t="s">
        <v>94</v>
      </c>
      <c r="D8" s="16" t="s">
        <v>73</v>
      </c>
      <c r="E8" s="17" t="s">
        <v>95</v>
      </c>
      <c r="F8" s="16" t="s">
        <v>96</v>
      </c>
      <c r="G8" s="16" t="s">
        <v>97</v>
      </c>
      <c r="H8" s="16" t="s">
        <v>98</v>
      </c>
      <c r="I8" s="16" t="s">
        <v>99</v>
      </c>
      <c r="J8" s="16" t="s">
        <v>100</v>
      </c>
      <c r="K8" s="16" t="s">
        <v>101</v>
      </c>
      <c r="L8" s="16" t="s">
        <v>102</v>
      </c>
      <c r="M8" s="16" t="s">
        <v>81</v>
      </c>
      <c r="N8" s="16" t="s">
        <v>33</v>
      </c>
    </row>
    <row r="9" spans="1:14" ht="90" customHeight="1" x14ac:dyDescent="0.35">
      <c r="A9" s="14" t="s">
        <v>103</v>
      </c>
      <c r="B9" s="14" t="s">
        <v>104</v>
      </c>
      <c r="C9" s="14" t="s">
        <v>105</v>
      </c>
      <c r="D9" s="14" t="s">
        <v>73</v>
      </c>
      <c r="E9" s="15" t="s">
        <v>61</v>
      </c>
      <c r="F9" s="14" t="s">
        <v>106</v>
      </c>
      <c r="G9" s="14" t="s">
        <v>107</v>
      </c>
      <c r="H9" s="14" t="s">
        <v>108</v>
      </c>
      <c r="I9" s="14" t="s">
        <v>109</v>
      </c>
      <c r="J9" s="14" t="s">
        <v>110</v>
      </c>
      <c r="K9" s="14" t="s">
        <v>111</v>
      </c>
      <c r="L9" s="14" t="s">
        <v>112</v>
      </c>
      <c r="M9" s="14" t="s">
        <v>81</v>
      </c>
      <c r="N9" s="14" t="s">
        <v>33</v>
      </c>
    </row>
    <row r="10" spans="1:14" ht="90" customHeight="1" x14ac:dyDescent="0.35">
      <c r="A10" s="16" t="s">
        <v>113</v>
      </c>
      <c r="B10" s="16" t="s">
        <v>114</v>
      </c>
      <c r="C10" s="16" t="s">
        <v>115</v>
      </c>
      <c r="D10" s="16" t="s">
        <v>73</v>
      </c>
      <c r="E10" s="17" t="s">
        <v>95</v>
      </c>
      <c r="F10" s="16" t="s">
        <v>116</v>
      </c>
      <c r="G10" s="16" t="s">
        <v>117</v>
      </c>
      <c r="H10" s="16" t="s">
        <v>118</v>
      </c>
      <c r="I10" s="16" t="s">
        <v>119</v>
      </c>
      <c r="J10" s="16" t="s">
        <v>120</v>
      </c>
      <c r="K10" s="16" t="s">
        <v>121</v>
      </c>
      <c r="L10" s="16" t="s">
        <v>122</v>
      </c>
      <c r="M10" s="16" t="s">
        <v>81</v>
      </c>
      <c r="N10" s="16" t="s">
        <v>33</v>
      </c>
    </row>
    <row r="11" spans="1:14" ht="90" customHeight="1" x14ac:dyDescent="0.35">
      <c r="A11" s="16" t="s">
        <v>123</v>
      </c>
      <c r="B11" s="16" t="s">
        <v>124</v>
      </c>
      <c r="C11" s="16" t="s">
        <v>125</v>
      </c>
      <c r="D11" s="16" t="s">
        <v>73</v>
      </c>
      <c r="E11" s="17" t="s">
        <v>95</v>
      </c>
      <c r="F11" s="16" t="s">
        <v>126</v>
      </c>
      <c r="G11" s="16" t="s">
        <v>127</v>
      </c>
      <c r="H11" s="16" t="s">
        <v>128</v>
      </c>
      <c r="I11" s="16" t="s">
        <v>129</v>
      </c>
      <c r="J11" s="16" t="s">
        <v>130</v>
      </c>
      <c r="K11" s="16" t="s">
        <v>131</v>
      </c>
      <c r="L11" s="16" t="s">
        <v>132</v>
      </c>
      <c r="M11" s="16" t="s">
        <v>81</v>
      </c>
      <c r="N11" s="16" t="s">
        <v>33</v>
      </c>
    </row>
    <row r="12" spans="1:14" ht="90" customHeight="1" x14ac:dyDescent="0.35">
      <c r="A12" s="16" t="s">
        <v>133</v>
      </c>
      <c r="B12" s="16" t="s">
        <v>134</v>
      </c>
      <c r="C12" s="16" t="s">
        <v>135</v>
      </c>
      <c r="D12" s="16" t="s">
        <v>136</v>
      </c>
      <c r="E12" s="17" t="s">
        <v>95</v>
      </c>
      <c r="F12" s="16" t="s">
        <v>137</v>
      </c>
      <c r="G12" s="16" t="s">
        <v>138</v>
      </c>
      <c r="H12" s="16" t="s">
        <v>139</v>
      </c>
      <c r="I12" s="16" t="s">
        <v>140</v>
      </c>
      <c r="J12" s="16" t="s">
        <v>141</v>
      </c>
      <c r="K12" s="16" t="s">
        <v>142</v>
      </c>
      <c r="L12" s="16" t="s">
        <v>143</v>
      </c>
      <c r="M12" s="16" t="s">
        <v>144</v>
      </c>
      <c r="N12" s="16" t="s">
        <v>33</v>
      </c>
    </row>
    <row r="13" spans="1:14" ht="90" customHeight="1" x14ac:dyDescent="0.35">
      <c r="A13" s="14" t="s">
        <v>145</v>
      </c>
      <c r="B13" s="14" t="s">
        <v>71</v>
      </c>
      <c r="C13" s="14" t="s">
        <v>146</v>
      </c>
      <c r="D13" s="14" t="s">
        <v>48</v>
      </c>
      <c r="E13" s="15" t="s">
        <v>61</v>
      </c>
      <c r="F13" s="14" t="s">
        <v>147</v>
      </c>
      <c r="G13" s="14" t="s">
        <v>148</v>
      </c>
      <c r="H13" s="14" t="s">
        <v>149</v>
      </c>
      <c r="I13" s="14" t="s">
        <v>150</v>
      </c>
      <c r="J13" s="14" t="s">
        <v>151</v>
      </c>
      <c r="K13" s="14" t="s">
        <v>152</v>
      </c>
      <c r="L13" s="14" t="s">
        <v>153</v>
      </c>
      <c r="M13" s="14" t="s">
        <v>154</v>
      </c>
      <c r="N13" s="14" t="s">
        <v>33</v>
      </c>
    </row>
    <row r="14" spans="1:14" ht="90" customHeight="1" x14ac:dyDescent="0.35">
      <c r="A14" s="14" t="s">
        <v>155</v>
      </c>
      <c r="B14" s="14" t="s">
        <v>156</v>
      </c>
      <c r="C14" s="14" t="s">
        <v>157</v>
      </c>
      <c r="D14" s="14" t="s">
        <v>48</v>
      </c>
      <c r="E14" s="15" t="s">
        <v>61</v>
      </c>
      <c r="F14" s="14" t="s">
        <v>158</v>
      </c>
      <c r="G14" s="14" t="s">
        <v>159</v>
      </c>
      <c r="H14" s="14" t="s">
        <v>160</v>
      </c>
      <c r="I14" s="14" t="s">
        <v>161</v>
      </c>
      <c r="J14" s="14" t="s">
        <v>162</v>
      </c>
      <c r="K14" s="14" t="s">
        <v>163</v>
      </c>
      <c r="L14" s="14" t="s">
        <v>164</v>
      </c>
      <c r="M14" s="14" t="s">
        <v>165</v>
      </c>
      <c r="N14" s="14" t="s">
        <v>33</v>
      </c>
    </row>
    <row r="15" spans="1:14" ht="90" customHeight="1" x14ac:dyDescent="0.35">
      <c r="A15" s="18" t="s">
        <v>166</v>
      </c>
      <c r="B15" s="18" t="s">
        <v>167</v>
      </c>
      <c r="C15" s="18" t="s">
        <v>168</v>
      </c>
      <c r="D15" s="18" t="s">
        <v>48</v>
      </c>
      <c r="E15" s="19" t="s">
        <v>169</v>
      </c>
      <c r="F15" s="18" t="s">
        <v>170</v>
      </c>
      <c r="G15" s="18" t="s">
        <v>171</v>
      </c>
      <c r="H15" s="18" t="s">
        <v>172</v>
      </c>
      <c r="I15" s="18" t="s">
        <v>173</v>
      </c>
      <c r="J15" s="18" t="s">
        <v>174</v>
      </c>
      <c r="K15" s="18" t="s">
        <v>175</v>
      </c>
      <c r="L15" s="18" t="s">
        <v>176</v>
      </c>
      <c r="M15" s="18" t="s">
        <v>165</v>
      </c>
      <c r="N15" s="18" t="s">
        <v>33</v>
      </c>
    </row>
    <row r="16" spans="1:14" ht="90" customHeight="1" x14ac:dyDescent="0.35">
      <c r="A16" s="12" t="s">
        <v>177</v>
      </c>
      <c r="B16" s="12" t="s">
        <v>178</v>
      </c>
      <c r="C16" s="12" t="s">
        <v>179</v>
      </c>
      <c r="D16" s="12" t="s">
        <v>180</v>
      </c>
      <c r="E16" s="13" t="s">
        <v>32</v>
      </c>
      <c r="F16" s="12" t="s">
        <v>181</v>
      </c>
      <c r="G16" s="12" t="s">
        <v>182</v>
      </c>
      <c r="H16" s="12" t="s">
        <v>183</v>
      </c>
      <c r="I16" s="12" t="s">
        <v>184</v>
      </c>
      <c r="J16" s="12" t="s">
        <v>185</v>
      </c>
      <c r="K16" s="12" t="s">
        <v>186</v>
      </c>
      <c r="L16" s="12" t="s">
        <v>187</v>
      </c>
      <c r="M16" s="12" t="s">
        <v>188</v>
      </c>
      <c r="N16" s="12" t="s">
        <v>33</v>
      </c>
    </row>
    <row r="17" spans="1:14" ht="90" customHeight="1" x14ac:dyDescent="0.35">
      <c r="A17" s="14" t="s">
        <v>189</v>
      </c>
      <c r="B17" s="14" t="s">
        <v>190</v>
      </c>
      <c r="C17" s="14" t="s">
        <v>191</v>
      </c>
      <c r="D17" s="14" t="s">
        <v>192</v>
      </c>
      <c r="E17" s="15" t="s">
        <v>61</v>
      </c>
      <c r="F17" s="14" t="s">
        <v>193</v>
      </c>
      <c r="G17" s="14" t="s">
        <v>194</v>
      </c>
      <c r="H17" s="14" t="s">
        <v>195</v>
      </c>
      <c r="I17" s="14" t="s">
        <v>196</v>
      </c>
      <c r="J17" s="14" t="s">
        <v>197</v>
      </c>
      <c r="K17" s="14" t="s">
        <v>198</v>
      </c>
      <c r="L17" s="14" t="s">
        <v>199</v>
      </c>
      <c r="M17" s="14" t="s">
        <v>200</v>
      </c>
      <c r="N17" s="14" t="s">
        <v>33</v>
      </c>
    </row>
    <row r="18" spans="1:14" ht="90" customHeight="1" x14ac:dyDescent="0.35">
      <c r="A18" s="14" t="s">
        <v>201</v>
      </c>
      <c r="B18" s="14" t="s">
        <v>83</v>
      </c>
      <c r="C18" s="14" t="s">
        <v>202</v>
      </c>
      <c r="D18" s="14" t="s">
        <v>192</v>
      </c>
      <c r="E18" s="15" t="s">
        <v>61</v>
      </c>
      <c r="F18" s="14" t="s">
        <v>203</v>
      </c>
      <c r="G18" s="14" t="s">
        <v>204</v>
      </c>
      <c r="H18" s="14" t="s">
        <v>205</v>
      </c>
      <c r="I18" s="14" t="s">
        <v>206</v>
      </c>
      <c r="J18" s="14" t="s">
        <v>207</v>
      </c>
      <c r="K18" s="14" t="s">
        <v>208</v>
      </c>
      <c r="L18" s="14" t="s">
        <v>209</v>
      </c>
      <c r="M18" s="14" t="s">
        <v>210</v>
      </c>
      <c r="N18" s="14" t="s">
        <v>33</v>
      </c>
    </row>
    <row r="19" spans="1:14" ht="90" customHeight="1" x14ac:dyDescent="0.35">
      <c r="A19" s="14" t="s">
        <v>211</v>
      </c>
      <c r="B19" s="14" t="s">
        <v>212</v>
      </c>
      <c r="C19" s="14" t="s">
        <v>213</v>
      </c>
      <c r="D19" s="14" t="s">
        <v>214</v>
      </c>
      <c r="E19" s="15" t="s">
        <v>61</v>
      </c>
      <c r="F19" s="14" t="s">
        <v>215</v>
      </c>
      <c r="G19" s="14" t="s">
        <v>216</v>
      </c>
      <c r="H19" s="14" t="s">
        <v>217</v>
      </c>
      <c r="I19" s="14" t="s">
        <v>218</v>
      </c>
      <c r="J19" s="14" t="s">
        <v>219</v>
      </c>
      <c r="K19" s="14" t="s">
        <v>220</v>
      </c>
      <c r="L19" s="14" t="s">
        <v>221</v>
      </c>
      <c r="M19" s="14" t="s">
        <v>81</v>
      </c>
      <c r="N19" s="14" t="s">
        <v>33</v>
      </c>
    </row>
    <row r="20" spans="1:14" ht="90" customHeight="1" x14ac:dyDescent="0.35">
      <c r="A20" s="18" t="s">
        <v>222</v>
      </c>
      <c r="B20" s="18" t="s">
        <v>212</v>
      </c>
      <c r="C20" s="18" t="s">
        <v>223</v>
      </c>
      <c r="D20" s="18" t="s">
        <v>192</v>
      </c>
      <c r="E20" s="19" t="s">
        <v>169</v>
      </c>
      <c r="F20" s="18" t="s">
        <v>224</v>
      </c>
      <c r="G20" s="18" t="s">
        <v>225</v>
      </c>
      <c r="H20" s="18" t="s">
        <v>226</v>
      </c>
      <c r="I20" s="18" t="s">
        <v>227</v>
      </c>
      <c r="J20" s="18" t="s">
        <v>228</v>
      </c>
      <c r="K20" s="18" t="s">
        <v>229</v>
      </c>
      <c r="L20" s="18" t="s">
        <v>230</v>
      </c>
      <c r="M20" s="18" t="s">
        <v>231</v>
      </c>
      <c r="N20" s="18" t="s">
        <v>33</v>
      </c>
    </row>
    <row r="21" spans="1:14" ht="90" customHeight="1" x14ac:dyDescent="0.35">
      <c r="A21" s="14" t="s">
        <v>232</v>
      </c>
      <c r="B21" s="14" t="s">
        <v>233</v>
      </c>
      <c r="C21" s="14" t="s">
        <v>234</v>
      </c>
      <c r="D21" s="14" t="s">
        <v>73</v>
      </c>
      <c r="E21" s="15" t="s">
        <v>61</v>
      </c>
      <c r="F21" s="14" t="s">
        <v>235</v>
      </c>
      <c r="G21" s="14" t="s">
        <v>236</v>
      </c>
      <c r="H21" s="14" t="s">
        <v>237</v>
      </c>
      <c r="I21" s="14" t="s">
        <v>238</v>
      </c>
      <c r="J21" s="14" t="s">
        <v>239</v>
      </c>
      <c r="K21" s="14" t="s">
        <v>240</v>
      </c>
      <c r="L21" s="14" t="s">
        <v>241</v>
      </c>
      <c r="M21" s="14" t="s">
        <v>81</v>
      </c>
      <c r="N21" s="14" t="s">
        <v>33</v>
      </c>
    </row>
    <row r="22" spans="1:14" ht="90" customHeight="1" x14ac:dyDescent="0.35">
      <c r="A22" s="16" t="s">
        <v>242</v>
      </c>
      <c r="B22" s="16" t="s">
        <v>233</v>
      </c>
      <c r="C22" s="16" t="s">
        <v>243</v>
      </c>
      <c r="D22" s="16" t="s">
        <v>244</v>
      </c>
      <c r="E22" s="17" t="s">
        <v>95</v>
      </c>
      <c r="F22" s="16" t="s">
        <v>245</v>
      </c>
      <c r="G22" s="16" t="s">
        <v>246</v>
      </c>
      <c r="H22" s="16" t="s">
        <v>247</v>
      </c>
      <c r="I22" s="16" t="s">
        <v>248</v>
      </c>
      <c r="J22" s="16" t="s">
        <v>249</v>
      </c>
      <c r="K22" s="16" t="s">
        <v>250</v>
      </c>
      <c r="L22" s="16" t="s">
        <v>251</v>
      </c>
      <c r="M22" s="16" t="s">
        <v>252</v>
      </c>
      <c r="N22" s="16" t="s">
        <v>33</v>
      </c>
    </row>
    <row r="23" spans="1:14" ht="90" customHeight="1" x14ac:dyDescent="0.35">
      <c r="A23" s="14" t="s">
        <v>253</v>
      </c>
      <c r="B23" s="14" t="s">
        <v>254</v>
      </c>
      <c r="C23" s="14" t="s">
        <v>255</v>
      </c>
      <c r="D23" s="14" t="s">
        <v>48</v>
      </c>
      <c r="E23" s="15" t="s">
        <v>61</v>
      </c>
      <c r="F23" s="14" t="s">
        <v>256</v>
      </c>
      <c r="G23" s="14" t="s">
        <v>257</v>
      </c>
      <c r="H23" s="14" t="s">
        <v>258</v>
      </c>
      <c r="I23" s="14" t="s">
        <v>259</v>
      </c>
      <c r="J23" s="14" t="s">
        <v>260</v>
      </c>
      <c r="K23" s="14" t="s">
        <v>261</v>
      </c>
      <c r="L23" s="14" t="s">
        <v>262</v>
      </c>
      <c r="M23" s="14" t="s">
        <v>263</v>
      </c>
      <c r="N23" s="14" t="s">
        <v>33</v>
      </c>
    </row>
    <row r="24" spans="1:14" ht="90" customHeight="1" x14ac:dyDescent="0.35">
      <c r="A24" s="14" t="s">
        <v>264</v>
      </c>
      <c r="B24" s="14" t="s">
        <v>71</v>
      </c>
      <c r="C24" s="14" t="s">
        <v>265</v>
      </c>
      <c r="D24" s="14" t="s">
        <v>48</v>
      </c>
      <c r="E24" s="15" t="s">
        <v>61</v>
      </c>
      <c r="F24" s="14" t="s">
        <v>266</v>
      </c>
      <c r="G24" s="14" t="s">
        <v>267</v>
      </c>
      <c r="H24" s="14" t="s">
        <v>268</v>
      </c>
      <c r="I24" s="14" t="s">
        <v>269</v>
      </c>
      <c r="J24" s="14" t="s">
        <v>270</v>
      </c>
      <c r="K24" s="14" t="s">
        <v>271</v>
      </c>
      <c r="L24" s="14" t="s">
        <v>272</v>
      </c>
      <c r="M24" s="14" t="s">
        <v>273</v>
      </c>
      <c r="N24" s="14" t="s">
        <v>33</v>
      </c>
    </row>
    <row r="25" spans="1:14" ht="90" customHeight="1" x14ac:dyDescent="0.35">
      <c r="A25" s="16" t="s">
        <v>274</v>
      </c>
      <c r="B25" s="16" t="s">
        <v>275</v>
      </c>
      <c r="C25" s="16" t="s">
        <v>276</v>
      </c>
      <c r="D25" s="16" t="s">
        <v>277</v>
      </c>
      <c r="E25" s="17" t="s">
        <v>95</v>
      </c>
      <c r="F25" s="16" t="s">
        <v>278</v>
      </c>
      <c r="G25" s="16" t="s">
        <v>279</v>
      </c>
      <c r="H25" s="16" t="s">
        <v>280</v>
      </c>
      <c r="I25" s="16" t="s">
        <v>281</v>
      </c>
      <c r="J25" s="16" t="s">
        <v>282</v>
      </c>
      <c r="K25" s="16" t="s">
        <v>283</v>
      </c>
      <c r="L25" s="16" t="s">
        <v>284</v>
      </c>
      <c r="M25" s="16" t="s">
        <v>285</v>
      </c>
      <c r="N25" s="16" t="s">
        <v>33</v>
      </c>
    </row>
    <row r="26" spans="1:14" ht="90" customHeight="1" x14ac:dyDescent="0.35">
      <c r="A26" s="14" t="s">
        <v>286</v>
      </c>
      <c r="B26" s="14" t="s">
        <v>287</v>
      </c>
      <c r="C26" s="14" t="s">
        <v>288</v>
      </c>
      <c r="D26" s="14" t="s">
        <v>244</v>
      </c>
      <c r="E26" s="15" t="s">
        <v>61</v>
      </c>
      <c r="F26" s="14" t="s">
        <v>289</v>
      </c>
      <c r="G26" s="14" t="s">
        <v>290</v>
      </c>
      <c r="H26" s="14" t="s">
        <v>291</v>
      </c>
      <c r="I26" s="14" t="s">
        <v>292</v>
      </c>
      <c r="J26" s="14" t="s">
        <v>293</v>
      </c>
      <c r="K26" s="14" t="s">
        <v>294</v>
      </c>
      <c r="L26" s="14" t="s">
        <v>295</v>
      </c>
      <c r="M26" s="14" t="s">
        <v>296</v>
      </c>
      <c r="N26" s="14" t="s">
        <v>33</v>
      </c>
    </row>
    <row r="27" spans="1:14" ht="90" customHeight="1" x14ac:dyDescent="0.35">
      <c r="A27" s="18" t="s">
        <v>297</v>
      </c>
      <c r="B27" s="18" t="s">
        <v>298</v>
      </c>
      <c r="C27" s="18" t="s">
        <v>299</v>
      </c>
      <c r="D27" s="18" t="s">
        <v>60</v>
      </c>
      <c r="E27" s="19" t="s">
        <v>169</v>
      </c>
      <c r="F27" s="18" t="s">
        <v>300</v>
      </c>
      <c r="G27" s="18" t="s">
        <v>301</v>
      </c>
      <c r="H27" s="18" t="s">
        <v>302</v>
      </c>
      <c r="I27" s="18" t="s">
        <v>303</v>
      </c>
      <c r="J27" s="18" t="s">
        <v>304</v>
      </c>
      <c r="K27" s="18" t="s">
        <v>305</v>
      </c>
      <c r="L27" s="18" t="s">
        <v>306</v>
      </c>
      <c r="M27" s="18" t="s">
        <v>307</v>
      </c>
      <c r="N27" s="18" t="s">
        <v>33</v>
      </c>
    </row>
    <row r="28" spans="1:14" ht="90" customHeight="1" x14ac:dyDescent="0.35">
      <c r="A28" s="20" t="s">
        <v>308</v>
      </c>
      <c r="B28" s="20" t="s">
        <v>309</v>
      </c>
      <c r="C28" s="20" t="s">
        <v>310</v>
      </c>
      <c r="D28" s="20" t="s">
        <v>311</v>
      </c>
      <c r="E28" s="21" t="s">
        <v>312</v>
      </c>
      <c r="F28" s="20" t="s">
        <v>313</v>
      </c>
      <c r="G28" s="20" t="s">
        <v>314</v>
      </c>
      <c r="H28" s="20" t="s">
        <v>358</v>
      </c>
      <c r="I28" s="20" t="s">
        <v>359</v>
      </c>
      <c r="J28" s="20" t="s">
        <v>315</v>
      </c>
      <c r="K28" s="20" t="s">
        <v>316</v>
      </c>
      <c r="L28" s="20" t="s">
        <v>317</v>
      </c>
      <c r="M28" s="20" t="s">
        <v>312</v>
      </c>
      <c r="N28" s="20" t="s">
        <v>318</v>
      </c>
    </row>
  </sheetData>
  <autoFilter ref="A1:N28" xr:uid="{00000000-0009-0000-0000-000001000000}"/>
  <dataValidations count="1">
    <dataValidation type="list" allowBlank="1" sqref="N2:N28" xr:uid="{00000000-0002-0000-0100-000000000000}">
      <formula1>"Open,In Progress,Fixed,Closed - Verified,Closed - Not a Bug,Won't Fix"</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7"/>
  <sheetViews>
    <sheetView showGridLines="0" topLeftCell="A13" zoomScaleNormal="100" workbookViewId="0">
      <selection activeCell="D12" sqref="D12"/>
    </sheetView>
  </sheetViews>
  <sheetFormatPr defaultColWidth="8.6328125" defaultRowHeight="14.5" x14ac:dyDescent="0.35"/>
  <cols>
    <col min="1" max="1" width="3" customWidth="1"/>
    <col min="2" max="5" width="22" customWidth="1"/>
  </cols>
  <sheetData>
    <row r="2" spans="1:6" ht="20" x14ac:dyDescent="0.4">
      <c r="B2" s="22" t="s">
        <v>319</v>
      </c>
    </row>
    <row r="3" spans="1:6" x14ac:dyDescent="0.35">
      <c r="B3" s="23" t="s">
        <v>320</v>
      </c>
    </row>
    <row r="5" spans="1:6" ht="15.5" x14ac:dyDescent="0.35">
      <c r="B5" s="45" t="s">
        <v>321</v>
      </c>
      <c r="E5" s="6" t="s">
        <v>322</v>
      </c>
    </row>
    <row r="6" spans="1:6" x14ac:dyDescent="0.35">
      <c r="A6" s="11"/>
      <c r="B6" s="11" t="s">
        <v>19</v>
      </c>
      <c r="C6" s="32" t="s">
        <v>323</v>
      </c>
      <c r="E6" s="24" t="s">
        <v>16</v>
      </c>
      <c r="F6" s="44" t="s">
        <v>323</v>
      </c>
    </row>
    <row r="7" spans="1:6" x14ac:dyDescent="0.35">
      <c r="B7" s="25" t="s">
        <v>32</v>
      </c>
      <c r="C7" s="39">
        <f>COUNTIF('Bug Tracker'!$E$2:$E$28,"Critical")</f>
        <v>3</v>
      </c>
      <c r="E7" s="31" t="s">
        <v>30</v>
      </c>
      <c r="F7" s="43">
        <f>COUNTIF('Bug Tracker'!$B$2:$B$28,"Cross-Cutting / Security")</f>
        <v>0</v>
      </c>
    </row>
    <row r="8" spans="1:6" x14ac:dyDescent="0.35">
      <c r="B8" s="26" t="s">
        <v>95</v>
      </c>
      <c r="C8" s="40">
        <f>COUNTIF('Bug Tracker'!$E$2:$E$28,"High")</f>
        <v>6</v>
      </c>
      <c r="E8" s="31" t="s">
        <v>35</v>
      </c>
      <c r="F8" s="43">
        <f>COUNTIF('Bug Tracker'!$B$2:$B$28,"Student / Auth")</f>
        <v>1</v>
      </c>
    </row>
    <row r="9" spans="1:6" x14ac:dyDescent="0.35">
      <c r="B9" s="27" t="s">
        <v>61</v>
      </c>
      <c r="C9" s="41">
        <f>COUNTIF('Bug Tracker'!$E$2:$E$28,"Medium")</f>
        <v>13</v>
      </c>
      <c r="E9" s="31" t="s">
        <v>46</v>
      </c>
      <c r="F9" s="43">
        <f>COUNTIF('Bug Tracker'!$B$2:$B$28,"Student / Trainer / Admin")</f>
        <v>1</v>
      </c>
    </row>
    <row r="10" spans="1:6" x14ac:dyDescent="0.35">
      <c r="B10" s="28" t="s">
        <v>169</v>
      </c>
      <c r="C10" s="42">
        <f>COUNTIF('Bug Tracker'!$E$2:$E$28,"Low")</f>
        <v>3</v>
      </c>
      <c r="E10" s="31" t="s">
        <v>58</v>
      </c>
      <c r="F10" s="43">
        <f>COUNTIF('Bug Tracker'!$B$2:$B$28,"Cross-Cutting / UX")</f>
        <v>1</v>
      </c>
    </row>
    <row r="11" spans="1:6" x14ac:dyDescent="0.35">
      <c r="B11" s="33" t="s">
        <v>324</v>
      </c>
      <c r="C11" s="33">
        <f>SUM(C7:C10)</f>
        <v>25</v>
      </c>
      <c r="E11" s="31" t="s">
        <v>71</v>
      </c>
      <c r="F11" s="43">
        <f>COUNTIF('Bug Tracker'!$B$2:$B$28,"Admin → Mentors")</f>
        <v>3</v>
      </c>
    </row>
    <row r="12" spans="1:6" x14ac:dyDescent="0.35">
      <c r="E12" s="31" t="s">
        <v>83</v>
      </c>
      <c r="F12" s="43">
        <f>COUNTIF('Bug Tracker'!$B$2:$B$28,"Admin → Batches")</f>
        <v>2</v>
      </c>
    </row>
    <row r="13" spans="1:6" x14ac:dyDescent="0.35">
      <c r="E13" s="31" t="s">
        <v>93</v>
      </c>
      <c r="F13" s="43">
        <f>COUNTIF('Bug Tracker'!$B$2:$B$28,"Admin → Companies")</f>
        <v>1</v>
      </c>
    </row>
    <row r="14" spans="1:6" ht="15.5" x14ac:dyDescent="0.35">
      <c r="B14" s="6" t="s">
        <v>325</v>
      </c>
      <c r="E14" s="31" t="s">
        <v>104</v>
      </c>
      <c r="F14" s="43">
        <f>COUNTIF('Bug Tracker'!$B$2:$B$28,"Admin → Leads")</f>
        <v>1</v>
      </c>
    </row>
    <row r="15" spans="1:6" ht="15.5" x14ac:dyDescent="0.35">
      <c r="A15" s="34"/>
      <c r="B15" s="38" t="s">
        <v>18</v>
      </c>
      <c r="C15" s="35" t="s">
        <v>323</v>
      </c>
      <c r="E15" s="31" t="s">
        <v>114</v>
      </c>
      <c r="F15" s="43">
        <f>COUNTIF('Bug Tracker'!$B$2:$B$28,"Admin → Students")</f>
        <v>1</v>
      </c>
    </row>
    <row r="16" spans="1:6" x14ac:dyDescent="0.35">
      <c r="B16" s="36" t="s">
        <v>31</v>
      </c>
      <c r="C16" s="37">
        <f>COUNTIF('Bug Tracker'!$D$2:$D$28,"Security")</f>
        <v>1</v>
      </c>
      <c r="E16" s="31" t="s">
        <v>124</v>
      </c>
      <c r="F16" s="43">
        <f>COUNTIF('Bug Tracker'!$B$2:$B$28,"Admin → Announcements")</f>
        <v>1</v>
      </c>
    </row>
    <row r="17" spans="2:6" x14ac:dyDescent="0.35">
      <c r="B17" s="36" t="s">
        <v>48</v>
      </c>
      <c r="C17" s="37">
        <f>COUNTIF('Bug Tracker'!$D$2:$D$28,"Functional")</f>
        <v>6</v>
      </c>
      <c r="E17" s="31" t="s">
        <v>134</v>
      </c>
      <c r="F17" s="43">
        <f>COUNTIF('Bug Tracker'!$B$2:$B$28,"Admin → Alumni")</f>
        <v>1</v>
      </c>
    </row>
    <row r="18" spans="2:6" x14ac:dyDescent="0.35">
      <c r="B18" s="36" t="s">
        <v>60</v>
      </c>
      <c r="C18" s="37">
        <f>COUNTIF('Bug Tracker'!$D$2:$D$28,"UI/UX")</f>
        <v>2</v>
      </c>
      <c r="E18" s="31" t="s">
        <v>156</v>
      </c>
      <c r="F18" s="43">
        <f>COUNTIF('Bug Tracker'!$B$2:$B$28,"Student / Admin → Placements")</f>
        <v>1</v>
      </c>
    </row>
    <row r="19" spans="2:6" x14ac:dyDescent="0.35">
      <c r="B19" s="36" t="s">
        <v>73</v>
      </c>
      <c r="C19" s="37">
        <f>COUNTIF('Bug Tracker'!$D$2:$D$28,"Data Quality")</f>
        <v>7</v>
      </c>
      <c r="E19" s="31" t="s">
        <v>167</v>
      </c>
      <c r="F19" s="43">
        <f>COUNTIF('Bug Tracker'!$B$2:$B$28,"Student → Mock Interviews")</f>
        <v>1</v>
      </c>
    </row>
    <row r="20" spans="2:6" x14ac:dyDescent="0.35">
      <c r="B20" s="36" t="s">
        <v>192</v>
      </c>
      <c r="C20" s="37">
        <f>COUNTIF('Bug Tracker'!$D$2:$D$28,"Data Consistency")</f>
        <v>3</v>
      </c>
      <c r="E20" s="31" t="s">
        <v>190</v>
      </c>
      <c r="F20" s="43">
        <f>COUNTIF('Bug Tracker'!$B$2:$B$28,"Admin → Placements")</f>
        <v>1</v>
      </c>
    </row>
    <row r="21" spans="2:6" x14ac:dyDescent="0.35">
      <c r="B21" s="36" t="s">
        <v>244</v>
      </c>
      <c r="C21" s="37">
        <f>COUNTIF('Bug Tracker'!$D$2:$D$28,"Validation")</f>
        <v>2</v>
      </c>
      <c r="E21" s="31" t="s">
        <v>212</v>
      </c>
      <c r="F21" s="43">
        <f>COUNTIF('Bug Tracker'!$B$2:$B$28,"Trainer → My Students")</f>
        <v>2</v>
      </c>
    </row>
    <row r="22" spans="2:6" x14ac:dyDescent="0.35">
      <c r="B22" s="36" t="s">
        <v>277</v>
      </c>
      <c r="C22" s="37">
        <f>COUNTIF('Bug Tracker'!$D$2:$D$28,"Content")</f>
        <v>1</v>
      </c>
      <c r="E22" s="31" t="s">
        <v>233</v>
      </c>
      <c r="F22" s="43">
        <f>COUNTIF('Bug Tracker'!$B$2:$B$28,"Trainer → Assignments")</f>
        <v>2</v>
      </c>
    </row>
    <row r="23" spans="2:6" x14ac:dyDescent="0.35">
      <c r="B23" s="36" t="s">
        <v>180</v>
      </c>
      <c r="C23" s="37">
        <f>COUNTIF('Bug Tracker'!$D$2:$D$28,"Functional / Stability")</f>
        <v>1</v>
      </c>
      <c r="E23" s="31" t="s">
        <v>254</v>
      </c>
      <c r="F23" s="43">
        <f>COUNTIF('Bug Tracker'!$B$2:$B$28,"Student / Admin → Certificates")</f>
        <v>1</v>
      </c>
    </row>
    <row r="24" spans="2:6" x14ac:dyDescent="0.35">
      <c r="B24" s="36" t="s">
        <v>214</v>
      </c>
      <c r="C24" s="37">
        <f>COUNTIF('Bug Tracker'!$D$2:$D$28,"Functional / Data")</f>
        <v>1</v>
      </c>
      <c r="E24" s="31" t="s">
        <v>275</v>
      </c>
      <c r="F24" s="43">
        <f>COUNTIF('Bug Tracker'!$B$2:$B$28,"Admin → Courses")</f>
        <v>1</v>
      </c>
    </row>
    <row r="25" spans="2:6" x14ac:dyDescent="0.35">
      <c r="B25" s="36" t="s">
        <v>311</v>
      </c>
      <c r="C25" s="37">
        <f>COUNTIF('Bug Tracker'!$D$2:$D$28,"N/A — Correction")</f>
        <v>1</v>
      </c>
      <c r="E25" s="31" t="s">
        <v>287</v>
      </c>
      <c r="F25" s="43">
        <f>COUNTIF('Bug Tracker'!$B$2:$B$28,"Cross-Cutting")</f>
        <v>1</v>
      </c>
    </row>
    <row r="26" spans="2:6" x14ac:dyDescent="0.35">
      <c r="E26" s="31" t="s">
        <v>298</v>
      </c>
      <c r="F26" s="43">
        <f>COUNTIF('Bug Tracker'!$B$2:$B$28,"Admin → Office Hours")</f>
        <v>1</v>
      </c>
    </row>
    <row r="27" spans="2:6" x14ac:dyDescent="0.35">
      <c r="E27" s="31" t="s">
        <v>309</v>
      </c>
      <c r="F27" s="43">
        <f>COUNTIF('Bug Tracker'!$B$2:$B$28,"Trainer")</f>
        <v>1</v>
      </c>
    </row>
  </sheetData>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4"/>
  <sheetViews>
    <sheetView showGridLines="0" zoomScaleNormal="100" workbookViewId="0">
      <selection activeCell="G8" sqref="G8"/>
    </sheetView>
  </sheetViews>
  <sheetFormatPr defaultColWidth="8.6328125" defaultRowHeight="14.5" x14ac:dyDescent="0.35"/>
  <cols>
    <col min="1" max="1" width="3" customWidth="1"/>
    <col min="2" max="2" width="34" customWidth="1"/>
    <col min="3" max="3" width="70" customWidth="1"/>
    <col min="4" max="4" width="20" customWidth="1"/>
  </cols>
  <sheetData>
    <row r="2" spans="1:4" ht="20" x14ac:dyDescent="0.4">
      <c r="B2" s="22" t="s">
        <v>326</v>
      </c>
    </row>
    <row r="3" spans="1:4" x14ac:dyDescent="0.35">
      <c r="B3" s="23" t="s">
        <v>327</v>
      </c>
    </row>
    <row r="5" spans="1:4" x14ac:dyDescent="0.35">
      <c r="A5" s="11"/>
      <c r="B5" s="11" t="s">
        <v>328</v>
      </c>
      <c r="C5" s="11" t="s">
        <v>329</v>
      </c>
      <c r="D5" s="46" t="s">
        <v>330</v>
      </c>
    </row>
    <row r="6" spans="1:4" ht="43.5" customHeight="1" x14ac:dyDescent="0.35">
      <c r="B6" s="29" t="s">
        <v>331</v>
      </c>
      <c r="C6" s="30" t="s">
        <v>332</v>
      </c>
      <c r="D6" s="30" t="s">
        <v>333</v>
      </c>
    </row>
    <row r="7" spans="1:4" ht="43.5" customHeight="1" x14ac:dyDescent="0.35">
      <c r="B7" s="29" t="s">
        <v>334</v>
      </c>
      <c r="C7" s="30" t="s">
        <v>335</v>
      </c>
      <c r="D7" s="30" t="s">
        <v>29</v>
      </c>
    </row>
    <row r="8" spans="1:4" ht="43.5" customHeight="1" x14ac:dyDescent="0.35">
      <c r="B8" s="29" t="s">
        <v>336</v>
      </c>
      <c r="C8" s="30" t="s">
        <v>337</v>
      </c>
      <c r="D8" s="30" t="s">
        <v>338</v>
      </c>
    </row>
    <row r="9" spans="1:4" ht="43.5" customHeight="1" x14ac:dyDescent="0.35">
      <c r="B9" s="29" t="s">
        <v>339</v>
      </c>
      <c r="C9" s="30" t="s">
        <v>340</v>
      </c>
      <c r="D9" s="30" t="s">
        <v>341</v>
      </c>
    </row>
    <row r="10" spans="1:4" ht="43.5" customHeight="1" x14ac:dyDescent="0.35">
      <c r="B10" s="29" t="s">
        <v>342</v>
      </c>
      <c r="C10" s="30" t="s">
        <v>343</v>
      </c>
      <c r="D10" s="30" t="s">
        <v>344</v>
      </c>
    </row>
    <row r="11" spans="1:4" ht="43.5" customHeight="1" x14ac:dyDescent="0.35">
      <c r="B11" s="29" t="s">
        <v>345</v>
      </c>
      <c r="C11" s="30" t="s">
        <v>346</v>
      </c>
      <c r="D11" s="30" t="s">
        <v>347</v>
      </c>
    </row>
    <row r="12" spans="1:4" ht="43.5" customHeight="1" x14ac:dyDescent="0.35">
      <c r="B12" s="29" t="s">
        <v>348</v>
      </c>
      <c r="C12" s="30" t="s">
        <v>349</v>
      </c>
      <c r="D12" s="30" t="s">
        <v>350</v>
      </c>
    </row>
    <row r="13" spans="1:4" ht="43.5" customHeight="1" x14ac:dyDescent="0.35">
      <c r="B13" s="29" t="s">
        <v>351</v>
      </c>
      <c r="C13" s="30" t="s">
        <v>352</v>
      </c>
      <c r="D13" s="30" t="s">
        <v>34</v>
      </c>
    </row>
    <row r="14" spans="1:4" ht="43.5" customHeight="1" x14ac:dyDescent="0.35">
      <c r="B14" s="29" t="s">
        <v>353</v>
      </c>
      <c r="C14" s="30" t="s">
        <v>354</v>
      </c>
      <c r="D14" s="30" t="s">
        <v>308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Bug Tracker</vt:lpstr>
      <vt:lpstr>Summary Dashboard</vt:lpstr>
      <vt:lpstr>Root Cause 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2026-07-16T12:08:59Z</dcterms:created>
  <dcterms:modified xsi:type="dcterms:W3CDTF">2026-07-16T19:45:28Z</dcterms:modified>
  <dc:language>en-US</dc:language>
</cp:coreProperties>
</file>